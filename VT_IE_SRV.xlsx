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"/>
    </mc:Choice>
  </mc:AlternateContent>
  <xr:revisionPtr revIDLastSave="0" documentId="13_ncr:1_{257292A9-ACDF-4184-9080-C1B466285B88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Cover" sheetId="83" r:id="rId1"/>
    <sheet name="Legend" sheetId="63" r:id="rId2"/>
    <sheet name="Regions" sheetId="74" r:id="rId3"/>
    <sheet name="EB_SRV" sheetId="75" r:id="rId4"/>
    <sheet name="Key Inputs" sheetId="61" r:id="rId5"/>
    <sheet name="Commodities" sheetId="29" r:id="rId6"/>
    <sheet name="Fuel Techs" sheetId="62" r:id="rId7"/>
    <sheet name="Building stock" sheetId="11" r:id="rId8"/>
    <sheet name="TH_Techs" sheetId="53" r:id="rId9"/>
    <sheet name="CK_Techs" sheetId="57" r:id="rId10"/>
    <sheet name="EAP_Techs" sheetId="79" r:id="rId11"/>
    <sheet name="PLIG_Techs" sheetId="80" r:id="rId12"/>
    <sheet name="DCE_Techs" sheetId="82" r:id="rId13"/>
    <sheet name="Emissions" sheetId="49" r:id="rId14"/>
    <sheet name="EB2018" sheetId="73" r:id="rId15"/>
    <sheet name="CSO data" sheetId="78" r:id="rId16"/>
    <sheet name="Public SEAI" sheetId="76" r:id="rId17"/>
  </sheets>
  <definedNames>
    <definedName name="__123Graph_AEUMILKPN" localSheetId="0" hidden="1">#REF!</definedName>
    <definedName name="__123Graph_AEUMILKPN" localSheetId="16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Order1" hidden="1">255</definedName>
    <definedName name="_Order2" hidden="1">255</definedName>
    <definedName name="_Regression_Y" localSheetId="0" hidden="1">#REF!</definedName>
    <definedName name="_Regression_Y" localSheetId="16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62" l="1"/>
  <c r="I14" i="62"/>
  <c r="I10" i="62"/>
  <c r="J9" i="53"/>
  <c r="J18" i="53"/>
  <c r="H12" i="57"/>
  <c r="H7" i="57"/>
  <c r="F12" i="80"/>
  <c r="M3" i="53"/>
  <c r="E35" i="61"/>
  <c r="B43" i="53"/>
  <c r="B35" i="53"/>
  <c r="B26" i="53"/>
  <c r="B23" i="53"/>
  <c r="B15" i="53"/>
  <c r="B45" i="53"/>
  <c r="B44" i="53"/>
  <c r="B42" i="53"/>
  <c r="B41" i="53"/>
  <c r="B40" i="53"/>
  <c r="B39" i="53"/>
  <c r="B38" i="53"/>
  <c r="B37" i="53"/>
  <c r="B36" i="53"/>
  <c r="B34" i="53"/>
  <c r="B33" i="53"/>
  <c r="B32" i="53"/>
  <c r="B31" i="53"/>
  <c r="B30" i="53"/>
  <c r="B29" i="53"/>
  <c r="B28" i="53"/>
  <c r="B27" i="53"/>
  <c r="B25" i="53"/>
  <c r="B24" i="53"/>
  <c r="B22" i="53"/>
  <c r="B21" i="53"/>
  <c r="B20" i="53"/>
  <c r="B19" i="53"/>
  <c r="B18" i="53"/>
  <c r="B17" i="53"/>
  <c r="B16" i="53"/>
  <c r="B14" i="53"/>
  <c r="B13" i="53"/>
  <c r="B12" i="53"/>
  <c r="B11" i="53"/>
  <c r="B10" i="53"/>
  <c r="B9" i="53"/>
  <c r="B8" i="53"/>
  <c r="B7" i="53"/>
  <c r="B16" i="82"/>
  <c r="B19" i="80"/>
  <c r="B29" i="11"/>
  <c r="B28" i="11"/>
  <c r="C29" i="11"/>
  <c r="C28" i="11"/>
  <c r="C32" i="29"/>
  <c r="E32" i="29"/>
  <c r="C45" i="63"/>
  <c r="D16" i="62" s="1"/>
  <c r="D32" i="29" l="1"/>
  <c r="J106" i="61"/>
  <c r="J105" i="61"/>
  <c r="J104" i="61"/>
  <c r="J103" i="61"/>
  <c r="G103" i="61"/>
  <c r="N7" i="11"/>
  <c r="N6" i="11"/>
  <c r="E37" i="29"/>
  <c r="E36" i="29"/>
  <c r="E35" i="29"/>
  <c r="E34" i="29"/>
  <c r="E33" i="29"/>
  <c r="E31" i="29"/>
  <c r="E30" i="29"/>
  <c r="E29" i="29"/>
  <c r="E28" i="29"/>
  <c r="E27" i="29"/>
  <c r="E26" i="29"/>
  <c r="E25" i="29"/>
  <c r="E24" i="29"/>
  <c r="Q19" i="62"/>
  <c r="Q18" i="62"/>
  <c r="Q17" i="62"/>
  <c r="Q16" i="62"/>
  <c r="Q15" i="62"/>
  <c r="Q14" i="62"/>
  <c r="Q13" i="62"/>
  <c r="Q12" i="62"/>
  <c r="Q11" i="62"/>
  <c r="Q10" i="62"/>
  <c r="Q9" i="62"/>
  <c r="Q8" i="62"/>
  <c r="Q7" i="62"/>
  <c r="Q6" i="62"/>
  <c r="Q5" i="62"/>
  <c r="O19" i="62"/>
  <c r="C51" i="63"/>
  <c r="D22" i="62" s="1"/>
  <c r="P19" i="62" s="1"/>
  <c r="B22" i="62" s="1"/>
  <c r="O18" i="62"/>
  <c r="O17" i="62"/>
  <c r="C49" i="63"/>
  <c r="D20" i="62" s="1"/>
  <c r="P17" i="62" s="1"/>
  <c r="B20" i="62" s="1"/>
  <c r="M7" i="11"/>
  <c r="M6" i="11"/>
  <c r="O16" i="62"/>
  <c r="O15" i="62"/>
  <c r="O14" i="62"/>
  <c r="O13" i="62"/>
  <c r="O12" i="62"/>
  <c r="O11" i="62"/>
  <c r="O10" i="62"/>
  <c r="O9" i="62"/>
  <c r="O8" i="62"/>
  <c r="O7" i="62"/>
  <c r="O6" i="62"/>
  <c r="O5" i="62"/>
  <c r="C5" i="29"/>
  <c r="C43" i="29"/>
  <c r="C42" i="29"/>
  <c r="C41" i="29"/>
  <c r="C40" i="29"/>
  <c r="C39" i="29"/>
  <c r="C38" i="29"/>
  <c r="C37" i="29"/>
  <c r="C36" i="29"/>
  <c r="C35" i="29"/>
  <c r="C34" i="29"/>
  <c r="C33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B11" i="49"/>
  <c r="B10" i="49"/>
  <c r="B9" i="49"/>
  <c r="B8" i="49"/>
  <c r="B7" i="49"/>
  <c r="E23" i="29"/>
  <c r="D36" i="29" l="1"/>
  <c r="E21" i="29"/>
  <c r="D21" i="29"/>
  <c r="E22" i="29"/>
  <c r="D22" i="29"/>
  <c r="E6" i="29"/>
  <c r="E5" i="29"/>
  <c r="D6" i="29"/>
  <c r="D5" i="29"/>
  <c r="O7" i="11"/>
  <c r="O6" i="11"/>
  <c r="L10" i="80" l="1"/>
  <c r="L9" i="80"/>
  <c r="L8" i="80"/>
  <c r="L7" i="80"/>
  <c r="Z6" i="82"/>
  <c r="Y6" i="82"/>
  <c r="X6" i="82"/>
  <c r="W6" i="82"/>
  <c r="V6" i="82"/>
  <c r="H7" i="80"/>
  <c r="AD6" i="82" l="1"/>
  <c r="AC6" i="82" l="1"/>
  <c r="P10" i="80" l="1"/>
  <c r="E18" i="80" s="1"/>
  <c r="P9" i="80"/>
  <c r="P8" i="80"/>
  <c r="P7" i="80"/>
  <c r="F22" i="29" s="1"/>
  <c r="Q7" i="80"/>
  <c r="F5" i="80" s="1"/>
  <c r="Q9" i="80"/>
  <c r="Q8" i="80"/>
  <c r="Q10" i="80"/>
  <c r="X10" i="80"/>
  <c r="V10" i="80"/>
  <c r="X9" i="80"/>
  <c r="V9" i="80"/>
  <c r="X8" i="80"/>
  <c r="V8" i="80"/>
  <c r="X7" i="80"/>
  <c r="V7" i="80"/>
  <c r="AA7" i="80" s="1"/>
  <c r="Y6" i="80"/>
  <c r="X6" i="80"/>
  <c r="W6" i="80"/>
  <c r="V6" i="80"/>
  <c r="J10" i="80"/>
  <c r="J9" i="80"/>
  <c r="J8" i="80"/>
  <c r="J7" i="80"/>
  <c r="K6" i="53"/>
  <c r="J6" i="53"/>
  <c r="I6" i="53"/>
  <c r="H6" i="53"/>
  <c r="D20" i="29"/>
  <c r="D19" i="11" s="1"/>
  <c r="D19" i="29"/>
  <c r="D18" i="11" s="1"/>
  <c r="D18" i="29"/>
  <c r="D17" i="11" s="1"/>
  <c r="D17" i="29"/>
  <c r="D16" i="11" s="1"/>
  <c r="D16" i="29"/>
  <c r="D15" i="11" s="1"/>
  <c r="D15" i="29"/>
  <c r="D14" i="11" s="1"/>
  <c r="D14" i="29"/>
  <c r="D13" i="11" s="1"/>
  <c r="D13" i="29"/>
  <c r="D12" i="11" s="1"/>
  <c r="D12" i="29"/>
  <c r="D11" i="11" s="1"/>
  <c r="D11" i="29"/>
  <c r="D10" i="11" s="1"/>
  <c r="D10" i="29"/>
  <c r="D9" i="11" s="1"/>
  <c r="D9" i="29"/>
  <c r="D8" i="11" s="1"/>
  <c r="D8" i="29"/>
  <c r="D7" i="11" s="1"/>
  <c r="D7" i="29"/>
  <c r="D6" i="11" s="1"/>
  <c r="G6" i="53"/>
  <c r="AA9" i="80" l="1"/>
  <c r="AA10" i="80"/>
  <c r="AA8" i="80"/>
  <c r="H8" i="80"/>
  <c r="H9" i="80"/>
  <c r="H10" i="80"/>
  <c r="AD6" i="80" l="1"/>
  <c r="AC6" i="80" l="1"/>
  <c r="Z6" i="57" l="1"/>
  <c r="Y6" i="57"/>
  <c r="X6" i="57"/>
  <c r="W6" i="57"/>
  <c r="V6" i="57"/>
  <c r="V17" i="57"/>
  <c r="Z11" i="57"/>
  <c r="Y11" i="57"/>
  <c r="X11" i="57"/>
  <c r="B84" i="61"/>
  <c r="A84" i="61"/>
  <c r="B79" i="61"/>
  <c r="W11" i="57" s="1"/>
  <c r="AB11" i="57" s="1"/>
  <c r="A79" i="61"/>
  <c r="V11" i="57" s="1"/>
  <c r="AA11" i="57" s="1"/>
  <c r="E20" i="29"/>
  <c r="E19" i="29"/>
  <c r="E18" i="29"/>
  <c r="E17" i="29"/>
  <c r="E16" i="29"/>
  <c r="E15" i="29"/>
  <c r="E13" i="29"/>
  <c r="E12" i="29"/>
  <c r="E11" i="29"/>
  <c r="E10" i="29"/>
  <c r="E9" i="29"/>
  <c r="E8" i="29"/>
  <c r="D83" i="61"/>
  <c r="Y15" i="57" s="1"/>
  <c r="D82" i="61"/>
  <c r="Y14" i="57" s="1"/>
  <c r="D81" i="61"/>
  <c r="Y13" i="57" s="1"/>
  <c r="D80" i="61"/>
  <c r="Y12" i="57" s="1"/>
  <c r="D78" i="61"/>
  <c r="Y10" i="57" s="1"/>
  <c r="D77" i="61"/>
  <c r="Y9" i="57" s="1"/>
  <c r="D76" i="61"/>
  <c r="Y8" i="57" s="1"/>
  <c r="D75" i="61"/>
  <c r="Y7" i="57" s="1"/>
  <c r="C83" i="61"/>
  <c r="X15" i="57" s="1"/>
  <c r="C82" i="61"/>
  <c r="X14" i="57" s="1"/>
  <c r="C81" i="61"/>
  <c r="X13" i="57" s="1"/>
  <c r="C80" i="61"/>
  <c r="X12" i="57" s="1"/>
  <c r="C78" i="61"/>
  <c r="X10" i="57" s="1"/>
  <c r="C77" i="61"/>
  <c r="X9" i="57" s="1"/>
  <c r="C76" i="61"/>
  <c r="X8" i="57" s="1"/>
  <c r="C75" i="61"/>
  <c r="X7" i="57" s="1"/>
  <c r="AD6" i="57" l="1"/>
  <c r="AC6" i="57"/>
  <c r="P10" i="57"/>
  <c r="P15" i="57"/>
  <c r="AC11" i="57"/>
  <c r="AD11" i="57"/>
  <c r="P8" i="57"/>
  <c r="P9" i="57"/>
  <c r="P12" i="57"/>
  <c r="P13" i="57"/>
  <c r="Q15" i="57"/>
  <c r="P7" i="57"/>
  <c r="P14" i="57"/>
  <c r="Q12" i="57"/>
  <c r="Q9" i="57"/>
  <c r="R15" i="57"/>
  <c r="R9" i="57"/>
  <c r="L10" i="57"/>
  <c r="R12" i="57"/>
  <c r="L13" i="57"/>
  <c r="Q8" i="57"/>
  <c r="Q14" i="57"/>
  <c r="R8" i="57"/>
  <c r="R14" i="57"/>
  <c r="L15" i="57"/>
  <c r="L9" i="57"/>
  <c r="L12" i="57"/>
  <c r="Q10" i="57"/>
  <c r="Q13" i="57"/>
  <c r="L8" i="57"/>
  <c r="R10" i="57"/>
  <c r="R13" i="57"/>
  <c r="L14" i="57"/>
  <c r="R7" i="57"/>
  <c r="Q7" i="57"/>
  <c r="F5" i="57" s="1"/>
  <c r="L7" i="57"/>
  <c r="G49" i="61" s="1"/>
  <c r="G67" i="61" s="1"/>
  <c r="G66" i="61" s="1"/>
  <c r="G64" i="61" s="1"/>
  <c r="G63" i="61" s="1"/>
  <c r="G62" i="61" s="1"/>
  <c r="G61" i="61" s="1"/>
  <c r="G60" i="61" s="1"/>
  <c r="G59" i="61" s="1"/>
  <c r="G58" i="61" s="1"/>
  <c r="G56" i="61" s="1"/>
  <c r="G55" i="61" s="1"/>
  <c r="G53" i="61" s="1"/>
  <c r="G52" i="61" s="1"/>
  <c r="G51" i="61" s="1"/>
  <c r="D35" i="61"/>
  <c r="C32" i="61"/>
  <c r="C46" i="61"/>
  <c r="E14" i="29"/>
  <c r="E7" i="29"/>
  <c r="L6" i="53" l="1"/>
  <c r="D6" i="53"/>
  <c r="E6" i="53"/>
  <c r="G50" i="61"/>
  <c r="AD14" i="53" l="1"/>
  <c r="AD13" i="53"/>
  <c r="AD10" i="53"/>
  <c r="A68" i="61" l="1"/>
  <c r="A65" i="61"/>
  <c r="A57" i="61"/>
  <c r="B68" i="61"/>
  <c r="B65" i="61"/>
  <c r="B57" i="61"/>
  <c r="B48" i="61"/>
  <c r="A48" i="61"/>
  <c r="B45" i="61"/>
  <c r="A45" i="61"/>
  <c r="B37" i="61"/>
  <c r="A37" i="61"/>
  <c r="C80" i="78"/>
  <c r="B80" i="78" l="1"/>
  <c r="B78" i="78"/>
  <c r="B77" i="78"/>
  <c r="B76" i="78"/>
  <c r="B75" i="78"/>
  <c r="B74" i="78"/>
  <c r="B73" i="78"/>
  <c r="B72" i="78"/>
  <c r="B71" i="78"/>
  <c r="B70" i="78"/>
  <c r="B69" i="78"/>
  <c r="B68" i="78"/>
  <c r="B67" i="78"/>
  <c r="B66" i="78"/>
  <c r="D6" i="61"/>
  <c r="D106" i="61"/>
  <c r="D105" i="61"/>
  <c r="D104" i="61"/>
  <c r="D103" i="61"/>
  <c r="B107" i="61"/>
  <c r="L103" i="61"/>
  <c r="H107" i="61"/>
  <c r="M106" i="61" s="1"/>
  <c r="N106" i="61" s="1"/>
  <c r="C76" i="78" l="1"/>
  <c r="C68" i="78"/>
  <c r="C74" i="78"/>
  <c r="C71" i="78"/>
  <c r="C70" i="78"/>
  <c r="C77" i="78"/>
  <c r="C75" i="78"/>
  <c r="C67" i="78"/>
  <c r="C73" i="78"/>
  <c r="C72" i="78"/>
  <c r="C78" i="78"/>
  <c r="C69" i="78"/>
  <c r="C66" i="78"/>
  <c r="M103" i="61"/>
  <c r="N103" i="61" s="1"/>
  <c r="M104" i="61"/>
  <c r="N104" i="61" s="1"/>
  <c r="G76" i="78" l="1"/>
  <c r="F76" i="78"/>
  <c r="F73" i="78"/>
  <c r="G73" i="78"/>
  <c r="G68" i="78"/>
  <c r="F68" i="78"/>
  <c r="G78" i="78"/>
  <c r="F78" i="78"/>
  <c r="G77" i="78"/>
  <c r="F77" i="78"/>
  <c r="G67" i="78"/>
  <c r="F67" i="78"/>
  <c r="G71" i="78"/>
  <c r="F71" i="78"/>
  <c r="G70" i="78"/>
  <c r="F70" i="78"/>
  <c r="F66" i="78"/>
  <c r="G66" i="78"/>
  <c r="F69" i="78"/>
  <c r="G69" i="78"/>
  <c r="G74" i="78"/>
  <c r="F74" i="78"/>
  <c r="G72" i="78"/>
  <c r="F72" i="78"/>
  <c r="G75" i="78"/>
  <c r="F75" i="78"/>
  <c r="F80" i="78" l="1"/>
  <c r="G80" i="78"/>
  <c r="D114" i="61" l="1"/>
  <c r="Y7" i="82" s="1"/>
  <c r="C114" i="61"/>
  <c r="X7" i="82" s="1"/>
  <c r="F114" i="61"/>
  <c r="I114" i="61" s="1"/>
  <c r="K14" i="75" s="1"/>
  <c r="B114" i="61"/>
  <c r="W7" i="82" s="1"/>
  <c r="AB7" i="82" s="1"/>
  <c r="M7" i="82" s="1"/>
  <c r="A114" i="61"/>
  <c r="V7" i="82" s="1"/>
  <c r="F80" i="75"/>
  <c r="F73" i="75"/>
  <c r="F69" i="75"/>
  <c r="B66" i="63"/>
  <c r="F103" i="61" s="1"/>
  <c r="B14" i="75"/>
  <c r="B17" i="75" s="1"/>
  <c r="B51" i="75" s="1"/>
  <c r="B16" i="75"/>
  <c r="B18" i="75" s="1"/>
  <c r="B96" i="75" s="1"/>
  <c r="K16" i="75" l="1"/>
  <c r="M16" i="75" s="1"/>
  <c r="AA7" i="82"/>
  <c r="E7" i="82" s="1"/>
  <c r="C16" i="82" s="1"/>
  <c r="L6" i="82"/>
  <c r="B6" i="82" s="1"/>
  <c r="Q7" i="82"/>
  <c r="F5" i="82" s="1"/>
  <c r="L7" i="82"/>
  <c r="P7" i="82"/>
  <c r="E15" i="82" s="1"/>
  <c r="J7" i="82"/>
  <c r="R7" i="82"/>
  <c r="G7" i="82"/>
  <c r="O7" i="82"/>
  <c r="C7" i="82" s="1"/>
  <c r="B36" i="75"/>
  <c r="B73" i="75"/>
  <c r="B89" i="75"/>
  <c r="B90" i="75"/>
  <c r="B52" i="75"/>
  <c r="B29" i="75"/>
  <c r="B45" i="75"/>
  <c r="B82" i="75"/>
  <c r="B31" i="75"/>
  <c r="B39" i="75"/>
  <c r="B47" i="75"/>
  <c r="B55" i="75"/>
  <c r="B68" i="75"/>
  <c r="B76" i="75"/>
  <c r="B84" i="75"/>
  <c r="B92" i="75"/>
  <c r="B28" i="75"/>
  <c r="B66" i="75"/>
  <c r="B48" i="75"/>
  <c r="B56" i="75"/>
  <c r="B69" i="75"/>
  <c r="B77" i="75"/>
  <c r="B85" i="75"/>
  <c r="B93" i="75"/>
  <c r="B53" i="75"/>
  <c r="B30" i="75"/>
  <c r="B25" i="75"/>
  <c r="B33" i="75"/>
  <c r="B41" i="75"/>
  <c r="B49" i="75"/>
  <c r="B57" i="75"/>
  <c r="B70" i="75"/>
  <c r="B78" i="75"/>
  <c r="B86" i="75"/>
  <c r="B94" i="75"/>
  <c r="B46" i="75"/>
  <c r="B67" i="75"/>
  <c r="B91" i="75"/>
  <c r="B40" i="75"/>
  <c r="B26" i="75"/>
  <c r="B34" i="75"/>
  <c r="B42" i="75"/>
  <c r="B50" i="75"/>
  <c r="B64" i="75"/>
  <c r="B71" i="75"/>
  <c r="B79" i="75"/>
  <c r="B87" i="75"/>
  <c r="B95" i="75"/>
  <c r="B44" i="75"/>
  <c r="B81" i="75"/>
  <c r="B37" i="75"/>
  <c r="B74" i="75"/>
  <c r="B38" i="75"/>
  <c r="B54" i="75"/>
  <c r="B75" i="75"/>
  <c r="B83" i="75"/>
  <c r="B32" i="75"/>
  <c r="B27" i="75"/>
  <c r="B35" i="75"/>
  <c r="B43" i="75"/>
  <c r="B65" i="75"/>
  <c r="B72" i="75"/>
  <c r="B80" i="75"/>
  <c r="B88" i="75"/>
  <c r="M14" i="75"/>
  <c r="C50" i="63"/>
  <c r="C48" i="63"/>
  <c r="C47" i="63"/>
  <c r="C46" i="63"/>
  <c r="C44" i="63"/>
  <c r="D15" i="62" s="1"/>
  <c r="C43" i="63"/>
  <c r="C42" i="63"/>
  <c r="C41" i="63"/>
  <c r="C40" i="63"/>
  <c r="C39" i="63"/>
  <c r="D26" i="29" s="1"/>
  <c r="C38" i="63"/>
  <c r="C37" i="63"/>
  <c r="C36" i="63"/>
  <c r="C38" i="76"/>
  <c r="D38" i="76" s="1"/>
  <c r="C37" i="76"/>
  <c r="D36" i="76" s="1"/>
  <c r="C36" i="76"/>
  <c r="H34" i="76"/>
  <c r="I32" i="76" s="1"/>
  <c r="C34" i="76"/>
  <c r="C40" i="76" s="1"/>
  <c r="D32" i="76"/>
  <c r="I31" i="76"/>
  <c r="D31" i="76"/>
  <c r="I27" i="76"/>
  <c r="D27" i="76"/>
  <c r="I26" i="76"/>
  <c r="D26" i="76"/>
  <c r="E16" i="76"/>
  <c r="E18" i="76" s="1"/>
  <c r="E19" i="76" s="1"/>
  <c r="D16" i="76"/>
  <c r="H12" i="76" s="1"/>
  <c r="C16" i="76"/>
  <c r="G12" i="76" s="1"/>
  <c r="G14" i="76"/>
  <c r="H13" i="76"/>
  <c r="H8" i="76"/>
  <c r="G8" i="76"/>
  <c r="P3" i="53" l="1"/>
  <c r="O3" i="53"/>
  <c r="N3" i="53"/>
  <c r="N7" i="82"/>
  <c r="B7" i="82" s="1"/>
  <c r="D5" i="62"/>
  <c r="P5" i="62" s="1"/>
  <c r="D23" i="29"/>
  <c r="P13" i="62"/>
  <c r="B15" i="62" s="1"/>
  <c r="D31" i="29"/>
  <c r="D6" i="62"/>
  <c r="P6" i="62" s="1"/>
  <c r="B6" i="62" s="1"/>
  <c r="D24" i="29"/>
  <c r="D17" i="62"/>
  <c r="P14" i="62" s="1"/>
  <c r="B17" i="62" s="1"/>
  <c r="D33" i="29"/>
  <c r="D18" i="62"/>
  <c r="P15" i="62" s="1"/>
  <c r="B18" i="62" s="1"/>
  <c r="D34" i="29"/>
  <c r="D7" i="62"/>
  <c r="P7" i="62" s="1"/>
  <c r="B7" i="62" s="1"/>
  <c r="D25" i="29"/>
  <c r="D19" i="62"/>
  <c r="P16" i="62" s="1"/>
  <c r="B19" i="62" s="1"/>
  <c r="D35" i="29"/>
  <c r="D11" i="62"/>
  <c r="P9" i="62" s="1"/>
  <c r="B11" i="62" s="1"/>
  <c r="D27" i="29"/>
  <c r="D21" i="62"/>
  <c r="P18" i="62" s="1"/>
  <c r="B21" i="62" s="1"/>
  <c r="D37" i="29"/>
  <c r="D12" i="62"/>
  <c r="P10" i="62" s="1"/>
  <c r="B12" i="62" s="1"/>
  <c r="D28" i="29"/>
  <c r="D13" i="62"/>
  <c r="P11" i="62" s="1"/>
  <c r="B13" i="62" s="1"/>
  <c r="D29" i="29"/>
  <c r="D14" i="62"/>
  <c r="P12" i="62" s="1"/>
  <c r="B14" i="62" s="1"/>
  <c r="D30" i="29"/>
  <c r="E41" i="61"/>
  <c r="E32" i="61"/>
  <c r="E52" i="61" s="1"/>
  <c r="D10" i="62"/>
  <c r="P8" i="62" s="1"/>
  <c r="B10" i="62" s="1"/>
  <c r="E66" i="61"/>
  <c r="E46" i="61"/>
  <c r="E80" i="61"/>
  <c r="Z12" i="57" s="1"/>
  <c r="D12" i="57" s="1"/>
  <c r="E75" i="61"/>
  <c r="Z7" i="57" s="1"/>
  <c r="D7" i="57" s="1"/>
  <c r="E81" i="61"/>
  <c r="Z13" i="57" s="1"/>
  <c r="D13" i="57" s="1"/>
  <c r="E76" i="61"/>
  <c r="Z8" i="57" s="1"/>
  <c r="D8" i="57" s="1"/>
  <c r="E82" i="61"/>
  <c r="Z14" i="57" s="1"/>
  <c r="D14" i="57" s="1"/>
  <c r="E77" i="61"/>
  <c r="Z9" i="57" s="1"/>
  <c r="D9" i="57" s="1"/>
  <c r="E78" i="61"/>
  <c r="Z10" i="57" s="1"/>
  <c r="D10" i="57" s="1"/>
  <c r="E83" i="61"/>
  <c r="Z15" i="57" s="1"/>
  <c r="D15" i="57" s="1"/>
  <c r="E104" i="61"/>
  <c r="Z8" i="80" s="1"/>
  <c r="D8" i="80" s="1"/>
  <c r="E103" i="61"/>
  <c r="Z7" i="80" s="1"/>
  <c r="D7" i="80" s="1"/>
  <c r="E105" i="61"/>
  <c r="Z9" i="80" s="1"/>
  <c r="D9" i="80" s="1"/>
  <c r="E106" i="61"/>
  <c r="Z10" i="80" s="1"/>
  <c r="D10" i="80" s="1"/>
  <c r="E114" i="61"/>
  <c r="Z7" i="82" s="1"/>
  <c r="D7" i="82" s="1"/>
  <c r="G7" i="76"/>
  <c r="G11" i="76"/>
  <c r="D24" i="76"/>
  <c r="I28" i="76"/>
  <c r="G10" i="76"/>
  <c r="D28" i="76"/>
  <c r="H7" i="76"/>
  <c r="H11" i="76"/>
  <c r="I24" i="76"/>
  <c r="I29" i="76"/>
  <c r="G9" i="76"/>
  <c r="H10" i="76"/>
  <c r="I7" i="76"/>
  <c r="G13" i="76"/>
  <c r="I25" i="76"/>
  <c r="I30" i="76"/>
  <c r="I10" i="76"/>
  <c r="I12" i="76"/>
  <c r="D30" i="76"/>
  <c r="D17" i="76"/>
  <c r="I8" i="76"/>
  <c r="D37" i="76"/>
  <c r="I11" i="76"/>
  <c r="H14" i="76"/>
  <c r="C18" i="76"/>
  <c r="C19" i="76" s="1"/>
  <c r="H9" i="76"/>
  <c r="I14" i="76"/>
  <c r="D18" i="76"/>
  <c r="D19" i="76" s="1"/>
  <c r="D25" i="76"/>
  <c r="D29" i="76"/>
  <c r="D33" i="76"/>
  <c r="C17" i="76"/>
  <c r="I13" i="76"/>
  <c r="E17" i="76"/>
  <c r="I9" i="76"/>
  <c r="E20" i="76" l="1"/>
  <c r="F81" i="75" s="1"/>
  <c r="B106" i="61"/>
  <c r="W10" i="80" s="1"/>
  <c r="B105" i="61"/>
  <c r="W9" i="80" s="1"/>
  <c r="B104" i="61"/>
  <c r="W8" i="80" s="1"/>
  <c r="B103" i="61"/>
  <c r="W7" i="80" s="1"/>
  <c r="H96" i="61"/>
  <c r="H95" i="61"/>
  <c r="H94" i="61"/>
  <c r="E96" i="61"/>
  <c r="Z11" i="79" s="1"/>
  <c r="D96" i="61"/>
  <c r="Y11" i="79" s="1"/>
  <c r="C96" i="61"/>
  <c r="X11" i="79" s="1"/>
  <c r="E95" i="61"/>
  <c r="Z10" i="79" s="1"/>
  <c r="D95" i="61"/>
  <c r="Y10" i="79" s="1"/>
  <c r="C95" i="61"/>
  <c r="X10" i="79" s="1"/>
  <c r="E94" i="61"/>
  <c r="Z9" i="79" s="1"/>
  <c r="D94" i="61"/>
  <c r="Y9" i="79" s="1"/>
  <c r="C94" i="61"/>
  <c r="X9" i="79" s="1"/>
  <c r="E93" i="61"/>
  <c r="Z8" i="79" s="1"/>
  <c r="D93" i="61"/>
  <c r="Y8" i="79" s="1"/>
  <c r="C93" i="61"/>
  <c r="X8" i="79" s="1"/>
  <c r="E92" i="61"/>
  <c r="Z7" i="79" s="1"/>
  <c r="D92" i="61"/>
  <c r="Y7" i="79" s="1"/>
  <c r="C92" i="61"/>
  <c r="X7" i="79" s="1"/>
  <c r="E91" i="61"/>
  <c r="Z6" i="79" s="1"/>
  <c r="D91" i="61"/>
  <c r="Y6" i="79" s="1"/>
  <c r="C91" i="61"/>
  <c r="X6" i="79" s="1"/>
  <c r="B96" i="61"/>
  <c r="W11" i="79" s="1"/>
  <c r="AB11" i="79" s="1"/>
  <c r="M11" i="79" s="1"/>
  <c r="B95" i="61"/>
  <c r="W10" i="79" s="1"/>
  <c r="AB10" i="79" s="1"/>
  <c r="M10" i="79" s="1"/>
  <c r="B94" i="61"/>
  <c r="W9" i="79" s="1"/>
  <c r="AB9" i="79" s="1"/>
  <c r="M9" i="79" s="1"/>
  <c r="B93" i="61"/>
  <c r="W8" i="79" s="1"/>
  <c r="AB8" i="79" s="1"/>
  <c r="M8" i="79" s="1"/>
  <c r="B92" i="61"/>
  <c r="W7" i="79" s="1"/>
  <c r="AB7" i="79" s="1"/>
  <c r="M7" i="79" s="1"/>
  <c r="B91" i="61"/>
  <c r="W6" i="79" s="1"/>
  <c r="AB6" i="79" s="1"/>
  <c r="M6" i="79" s="1"/>
  <c r="A96" i="61"/>
  <c r="V11" i="79" s="1"/>
  <c r="AA11" i="79" s="1"/>
  <c r="A95" i="61"/>
  <c r="V10" i="79" s="1"/>
  <c r="AA10" i="79" s="1"/>
  <c r="A94" i="61"/>
  <c r="V9" i="79" s="1"/>
  <c r="AA9" i="79" s="1"/>
  <c r="A93" i="61"/>
  <c r="V8" i="79" s="1"/>
  <c r="AA8" i="79" s="1"/>
  <c r="A92" i="61"/>
  <c r="V7" i="79" s="1"/>
  <c r="AA7" i="79" s="1"/>
  <c r="A91" i="61"/>
  <c r="V6" i="79" s="1"/>
  <c r="I83" i="61"/>
  <c r="I82" i="61"/>
  <c r="I81" i="61"/>
  <c r="I80" i="61"/>
  <c r="J83" i="61"/>
  <c r="J82" i="61"/>
  <c r="J81" i="61"/>
  <c r="J80" i="61"/>
  <c r="H83" i="61"/>
  <c r="H82" i="61"/>
  <c r="H81" i="61"/>
  <c r="H80" i="61"/>
  <c r="G83" i="61"/>
  <c r="G81" i="61"/>
  <c r="B83" i="61"/>
  <c r="W15" i="57" s="1"/>
  <c r="AB15" i="57" s="1"/>
  <c r="B82" i="61"/>
  <c r="W14" i="57" s="1"/>
  <c r="AB14" i="57" s="1"/>
  <c r="B81" i="61"/>
  <c r="W13" i="57" s="1"/>
  <c r="AB13" i="57" s="1"/>
  <c r="B80" i="61"/>
  <c r="W12" i="57" s="1"/>
  <c r="AB12" i="57" s="1"/>
  <c r="B78" i="61"/>
  <c r="W10" i="57" s="1"/>
  <c r="AB10" i="57" s="1"/>
  <c r="B77" i="61"/>
  <c r="W9" i="57" s="1"/>
  <c r="AB9" i="57" s="1"/>
  <c r="B76" i="61"/>
  <c r="W8" i="57" s="1"/>
  <c r="AB8" i="57" s="1"/>
  <c r="B75" i="61"/>
  <c r="W7" i="57" s="1"/>
  <c r="AB7" i="57" s="1"/>
  <c r="A83" i="61"/>
  <c r="V15" i="57" s="1"/>
  <c r="A82" i="61"/>
  <c r="V14" i="57" s="1"/>
  <c r="A81" i="61"/>
  <c r="V13" i="57" s="1"/>
  <c r="A80" i="61"/>
  <c r="V12" i="57" s="1"/>
  <c r="A78" i="61"/>
  <c r="V10" i="57" s="1"/>
  <c r="A77" i="61"/>
  <c r="V9" i="57" s="1"/>
  <c r="A76" i="61"/>
  <c r="V8" i="57" s="1"/>
  <c r="A75" i="61"/>
  <c r="V7" i="57" s="1"/>
  <c r="I67" i="61"/>
  <c r="I66" i="61"/>
  <c r="I64" i="61"/>
  <c r="I63" i="61"/>
  <c r="I62" i="61"/>
  <c r="I61" i="61"/>
  <c r="I60" i="61"/>
  <c r="I59" i="61"/>
  <c r="I58" i="61"/>
  <c r="I56" i="61"/>
  <c r="I55" i="61"/>
  <c r="I54" i="61"/>
  <c r="I53" i="61"/>
  <c r="I52" i="61"/>
  <c r="I51" i="61"/>
  <c r="I50" i="61"/>
  <c r="I49" i="61"/>
  <c r="M12" i="57" l="1"/>
  <c r="Q9" i="79"/>
  <c r="P9" i="79"/>
  <c r="N9" i="79"/>
  <c r="M13" i="57"/>
  <c r="M14" i="57"/>
  <c r="P7" i="79"/>
  <c r="N7" i="79"/>
  <c r="B7" i="79" s="1"/>
  <c r="P10" i="79"/>
  <c r="Q10" i="79"/>
  <c r="N10" i="79"/>
  <c r="M7" i="57"/>
  <c r="P8" i="79"/>
  <c r="N8" i="79"/>
  <c r="B8" i="79" s="1"/>
  <c r="M15" i="57"/>
  <c r="M9" i="57"/>
  <c r="P11" i="79"/>
  <c r="N11" i="79"/>
  <c r="B11" i="79" s="1"/>
  <c r="M8" i="57"/>
  <c r="M10" i="57"/>
  <c r="P6" i="79"/>
  <c r="Q6" i="79"/>
  <c r="AB7" i="80"/>
  <c r="N7" i="80" s="1"/>
  <c r="O7" i="80"/>
  <c r="C7" i="80" s="1"/>
  <c r="L6" i="80"/>
  <c r="B6" i="80" s="1"/>
  <c r="AB8" i="80"/>
  <c r="N8" i="80" s="1"/>
  <c r="O8" i="80"/>
  <c r="C8" i="80" s="1"/>
  <c r="AB9" i="80"/>
  <c r="N9" i="80" s="1"/>
  <c r="O9" i="80"/>
  <c r="C9" i="80" s="1"/>
  <c r="AB10" i="80"/>
  <c r="N10" i="80" s="1"/>
  <c r="O10" i="80"/>
  <c r="C10" i="80" s="1"/>
  <c r="J9" i="79"/>
  <c r="H9" i="79"/>
  <c r="H7" i="79"/>
  <c r="J7" i="79"/>
  <c r="J10" i="79"/>
  <c r="H10" i="79"/>
  <c r="H6" i="79"/>
  <c r="J6" i="79"/>
  <c r="L6" i="79"/>
  <c r="D10" i="79"/>
  <c r="AA13" i="57"/>
  <c r="E13" i="57" s="1"/>
  <c r="O13" i="57"/>
  <c r="C13" i="57" s="1"/>
  <c r="AA14" i="57"/>
  <c r="E14" i="57" s="1"/>
  <c r="O14" i="57"/>
  <c r="C14" i="57" s="1"/>
  <c r="AA6" i="79"/>
  <c r="E6" i="79" s="1"/>
  <c r="R7" i="79"/>
  <c r="L7" i="79"/>
  <c r="O7" i="79"/>
  <c r="C7" i="79" s="1"/>
  <c r="Q7" i="79"/>
  <c r="D7" i="79"/>
  <c r="E7" i="79"/>
  <c r="AA15" i="57"/>
  <c r="E15" i="57" s="1"/>
  <c r="O15" i="57"/>
  <c r="C15" i="57" s="1"/>
  <c r="R10" i="79"/>
  <c r="L10" i="79"/>
  <c r="E10" i="79"/>
  <c r="O10" i="79"/>
  <c r="C10" i="79" s="1"/>
  <c r="AA12" i="57"/>
  <c r="E12" i="57" s="1"/>
  <c r="O12" i="57"/>
  <c r="C12" i="57" s="1"/>
  <c r="L11" i="57"/>
  <c r="B11" i="57" s="1"/>
  <c r="D9" i="79"/>
  <c r="L9" i="79"/>
  <c r="R9" i="79"/>
  <c r="O9" i="79"/>
  <c r="C9" i="79" s="1"/>
  <c r="B9" i="79"/>
  <c r="E9" i="79"/>
  <c r="L8" i="79"/>
  <c r="R8" i="79"/>
  <c r="O8" i="79"/>
  <c r="C8" i="79" s="1"/>
  <c r="E8" i="79"/>
  <c r="D8" i="79"/>
  <c r="AA8" i="57"/>
  <c r="E8" i="57" s="1"/>
  <c r="O8" i="57"/>
  <c r="C8" i="57" s="1"/>
  <c r="AA9" i="57"/>
  <c r="N9" i="57" s="1"/>
  <c r="O9" i="57"/>
  <c r="C9" i="57" s="1"/>
  <c r="R11" i="79"/>
  <c r="L11" i="79"/>
  <c r="D11" i="79"/>
  <c r="O11" i="79"/>
  <c r="C11" i="79" s="1"/>
  <c r="AA10" i="57"/>
  <c r="O10" i="57"/>
  <c r="C10" i="57" s="1"/>
  <c r="E11" i="79"/>
  <c r="R6" i="79"/>
  <c r="O6" i="79"/>
  <c r="C6" i="79" s="1"/>
  <c r="D6" i="79"/>
  <c r="L6" i="57"/>
  <c r="B6" i="57" s="1"/>
  <c r="AA7" i="57"/>
  <c r="N7" i="57" s="1"/>
  <c r="O7" i="57"/>
  <c r="C7" i="57" s="1"/>
  <c r="M105" i="61"/>
  <c r="N105" i="61" s="1"/>
  <c r="N107" i="61" s="1"/>
  <c r="N108" i="61" s="1"/>
  <c r="G82" i="61"/>
  <c r="G80" i="61"/>
  <c r="N14" i="57" l="1"/>
  <c r="B14" i="57" s="1"/>
  <c r="E7" i="57"/>
  <c r="N13" i="57"/>
  <c r="B13" i="57" s="1"/>
  <c r="N10" i="57"/>
  <c r="B10" i="57" s="1"/>
  <c r="B9" i="57"/>
  <c r="N15" i="57"/>
  <c r="B15" i="57" s="1"/>
  <c r="N8" i="57"/>
  <c r="B8" i="57" s="1"/>
  <c r="N12" i="57"/>
  <c r="B12" i="57" s="1"/>
  <c r="N6" i="79"/>
  <c r="B6" i="79" s="1"/>
  <c r="E8" i="80"/>
  <c r="M8" i="80"/>
  <c r="B8" i="80"/>
  <c r="E9" i="80"/>
  <c r="M9" i="80"/>
  <c r="B9" i="80"/>
  <c r="E10" i="80"/>
  <c r="M10" i="80"/>
  <c r="B10" i="80"/>
  <c r="E7" i="80"/>
  <c r="C19" i="80" s="1"/>
  <c r="M7" i="80"/>
  <c r="B7" i="80"/>
  <c r="E10" i="57"/>
  <c r="E9" i="57"/>
  <c r="B10" i="79"/>
  <c r="B7" i="57"/>
  <c r="H67" i="61"/>
  <c r="H66" i="61"/>
  <c r="H64" i="61"/>
  <c r="H63" i="61"/>
  <c r="H62" i="61"/>
  <c r="H61" i="61"/>
  <c r="H60" i="61"/>
  <c r="H59" i="61"/>
  <c r="H58" i="61"/>
  <c r="H56" i="61"/>
  <c r="H55" i="61"/>
  <c r="H54" i="61"/>
  <c r="H53" i="61"/>
  <c r="H52" i="61"/>
  <c r="H51" i="61"/>
  <c r="H50" i="61"/>
  <c r="H49" i="61"/>
  <c r="B54" i="61"/>
  <c r="AC32" i="53" s="1"/>
  <c r="AH32" i="53" s="1"/>
  <c r="A54" i="61"/>
  <c r="AB32" i="53" s="1"/>
  <c r="AG32" i="53" s="1"/>
  <c r="B52" i="61"/>
  <c r="AC30" i="53" s="1"/>
  <c r="AH30" i="53" s="1"/>
  <c r="A52" i="61"/>
  <c r="AB30" i="53" s="1"/>
  <c r="AG30" i="53" s="1"/>
  <c r="C56" i="61"/>
  <c r="AD34" i="53" s="1"/>
  <c r="C55" i="61"/>
  <c r="A67" i="61"/>
  <c r="AB45" i="53" s="1"/>
  <c r="AG45" i="53" s="1"/>
  <c r="A66" i="61"/>
  <c r="AB44" i="53" s="1"/>
  <c r="A64" i="61"/>
  <c r="AB42" i="53" s="1"/>
  <c r="AG42" i="53" s="1"/>
  <c r="A63" i="61"/>
  <c r="AB41" i="53" s="1"/>
  <c r="AG41" i="53" s="1"/>
  <c r="A62" i="61"/>
  <c r="AB40" i="53" s="1"/>
  <c r="AG40" i="53" s="1"/>
  <c r="A61" i="61"/>
  <c r="AB39" i="53" s="1"/>
  <c r="AG39" i="53" s="1"/>
  <c r="A60" i="61"/>
  <c r="AB38" i="53" s="1"/>
  <c r="AG38" i="53" s="1"/>
  <c r="A59" i="61"/>
  <c r="AB37" i="53" s="1"/>
  <c r="AG37" i="53" s="1"/>
  <c r="A58" i="61"/>
  <c r="AB36" i="53" s="1"/>
  <c r="A56" i="61"/>
  <c r="AB34" i="53" s="1"/>
  <c r="AG34" i="53" s="1"/>
  <c r="A55" i="61"/>
  <c r="AB33" i="53" s="1"/>
  <c r="AG33" i="53" s="1"/>
  <c r="A53" i="61"/>
  <c r="AB31" i="53" s="1"/>
  <c r="AG31" i="53" s="1"/>
  <c r="A51" i="61"/>
  <c r="AB29" i="53" s="1"/>
  <c r="AG29" i="53" s="1"/>
  <c r="A50" i="61"/>
  <c r="AB28" i="53" s="1"/>
  <c r="AG28" i="53" s="1"/>
  <c r="B67" i="61"/>
  <c r="AC45" i="53" s="1"/>
  <c r="AH45" i="53" s="1"/>
  <c r="B66" i="61"/>
  <c r="AC44" i="53" s="1"/>
  <c r="AH44" i="53" s="1"/>
  <c r="B64" i="61"/>
  <c r="AC42" i="53" s="1"/>
  <c r="AH42" i="53" s="1"/>
  <c r="B63" i="61"/>
  <c r="AC41" i="53" s="1"/>
  <c r="AH41" i="53" s="1"/>
  <c r="B62" i="61"/>
  <c r="AC40" i="53" s="1"/>
  <c r="AH40" i="53" s="1"/>
  <c r="B61" i="61"/>
  <c r="AC39" i="53" s="1"/>
  <c r="AH39" i="53" s="1"/>
  <c r="B60" i="61"/>
  <c r="AC38" i="53" s="1"/>
  <c r="AH38" i="53" s="1"/>
  <c r="B59" i="61"/>
  <c r="AC37" i="53" s="1"/>
  <c r="AH37" i="53" s="1"/>
  <c r="B58" i="61"/>
  <c r="AC36" i="53" s="1"/>
  <c r="AH36" i="53" s="1"/>
  <c r="B56" i="61"/>
  <c r="AC34" i="53" s="1"/>
  <c r="AH34" i="53" s="1"/>
  <c r="B55" i="61"/>
  <c r="AC33" i="53" s="1"/>
  <c r="AH33" i="53" s="1"/>
  <c r="B53" i="61"/>
  <c r="AC31" i="53" s="1"/>
  <c r="AH31" i="53" s="1"/>
  <c r="B51" i="61"/>
  <c r="AC29" i="53" s="1"/>
  <c r="AH29" i="53" s="1"/>
  <c r="B50" i="61"/>
  <c r="AC28" i="53" s="1"/>
  <c r="AH28" i="53" s="1"/>
  <c r="B49" i="61"/>
  <c r="AC27" i="53" s="1"/>
  <c r="AH27" i="53" s="1"/>
  <c r="A49" i="61"/>
  <c r="AB27" i="53" s="1"/>
  <c r="E40" i="61"/>
  <c r="D34" i="61"/>
  <c r="C34" i="61"/>
  <c r="B34" i="61"/>
  <c r="AC12" i="53" s="1"/>
  <c r="AH12" i="53" s="1"/>
  <c r="A34" i="61"/>
  <c r="AB12" i="53" s="1"/>
  <c r="B33" i="61"/>
  <c r="AC11" i="53" s="1"/>
  <c r="AH11" i="53" s="1"/>
  <c r="A33" i="61"/>
  <c r="AB11" i="53" s="1"/>
  <c r="B32" i="61"/>
  <c r="AC10" i="53" s="1"/>
  <c r="AH10" i="53" s="1"/>
  <c r="A32" i="61"/>
  <c r="AB10" i="53" s="1"/>
  <c r="E34" i="61"/>
  <c r="D32" i="61"/>
  <c r="C52" i="61"/>
  <c r="AD30" i="53" s="1"/>
  <c r="E31" i="61"/>
  <c r="A29" i="61"/>
  <c r="B29" i="61"/>
  <c r="AC7" i="53" s="1"/>
  <c r="AH7" i="53" s="1"/>
  <c r="A30" i="61"/>
  <c r="AB8" i="53" s="1"/>
  <c r="B30" i="61"/>
  <c r="AC8" i="53" s="1"/>
  <c r="AH8" i="53" s="1"/>
  <c r="A31" i="61"/>
  <c r="AB9" i="53" s="1"/>
  <c r="B31" i="61"/>
  <c r="AC9" i="53" s="1"/>
  <c r="AH9" i="53" s="1"/>
  <c r="A35" i="61"/>
  <c r="AB13" i="53" s="1"/>
  <c r="B35" i="61"/>
  <c r="AC13" i="53" s="1"/>
  <c r="AH13" i="53" s="1"/>
  <c r="A36" i="61"/>
  <c r="AB14" i="53" s="1"/>
  <c r="AG14" i="53" s="1"/>
  <c r="B36" i="61"/>
  <c r="AC14" i="53" s="1"/>
  <c r="AH14" i="53" s="1"/>
  <c r="A38" i="61"/>
  <c r="AB16" i="53" s="1"/>
  <c r="B38" i="61"/>
  <c r="AC16" i="53" s="1"/>
  <c r="AH16" i="53" s="1"/>
  <c r="A39" i="61"/>
  <c r="AB17" i="53" s="1"/>
  <c r="AG17" i="53" s="1"/>
  <c r="B39" i="61"/>
  <c r="AC17" i="53" s="1"/>
  <c r="AH17" i="53" s="1"/>
  <c r="A40" i="61"/>
  <c r="AB18" i="53" s="1"/>
  <c r="AG18" i="53" s="1"/>
  <c r="B40" i="61"/>
  <c r="AC18" i="53" s="1"/>
  <c r="AH18" i="53" s="1"/>
  <c r="A41" i="61"/>
  <c r="AB19" i="53" s="1"/>
  <c r="AG19" i="53" s="1"/>
  <c r="B41" i="61"/>
  <c r="AC19" i="53" s="1"/>
  <c r="AH19" i="53" s="1"/>
  <c r="A42" i="61"/>
  <c r="AB20" i="53" s="1"/>
  <c r="AG20" i="53" s="1"/>
  <c r="B42" i="61"/>
  <c r="AC20" i="53" s="1"/>
  <c r="AH20" i="53" s="1"/>
  <c r="A43" i="61"/>
  <c r="AB21" i="53" s="1"/>
  <c r="AG21" i="53" s="1"/>
  <c r="B43" i="61"/>
  <c r="AC21" i="53" s="1"/>
  <c r="AH21" i="53" s="1"/>
  <c r="A44" i="61"/>
  <c r="AB22" i="53" s="1"/>
  <c r="AG22" i="53" s="1"/>
  <c r="B44" i="61"/>
  <c r="AC22" i="53" s="1"/>
  <c r="AH22" i="53" s="1"/>
  <c r="A46" i="61"/>
  <c r="AB24" i="53" s="1"/>
  <c r="A47" i="61"/>
  <c r="AB25" i="53" s="1"/>
  <c r="AG25" i="53" s="1"/>
  <c r="B47" i="61"/>
  <c r="AC25" i="53" s="1"/>
  <c r="AH25" i="53" s="1"/>
  <c r="B46" i="61"/>
  <c r="AC24" i="53" s="1"/>
  <c r="AH24" i="53" s="1"/>
  <c r="C60" i="75"/>
  <c r="C64" i="75"/>
  <c r="D64" i="75"/>
  <c r="C65" i="75"/>
  <c r="D65" i="75"/>
  <c r="C66" i="75"/>
  <c r="D66" i="75"/>
  <c r="C67" i="75"/>
  <c r="D67" i="75"/>
  <c r="C68" i="75"/>
  <c r="D68" i="75"/>
  <c r="C69" i="75"/>
  <c r="D69" i="75"/>
  <c r="C70" i="75"/>
  <c r="D70" i="75"/>
  <c r="C71" i="75"/>
  <c r="D71" i="75"/>
  <c r="C72" i="75"/>
  <c r="D72" i="75"/>
  <c r="C73" i="75"/>
  <c r="D73" i="75"/>
  <c r="C74" i="75"/>
  <c r="C75" i="75"/>
  <c r="D75" i="75"/>
  <c r="C76" i="75"/>
  <c r="D76" i="75"/>
  <c r="C77" i="75"/>
  <c r="D77" i="75"/>
  <c r="C78" i="75"/>
  <c r="D78" i="75"/>
  <c r="C79" i="75"/>
  <c r="D79" i="75"/>
  <c r="C80" i="75"/>
  <c r="D80" i="75"/>
  <c r="C81" i="75"/>
  <c r="D81" i="75"/>
  <c r="C82" i="75"/>
  <c r="D82" i="75"/>
  <c r="C83" i="75"/>
  <c r="C84" i="75"/>
  <c r="D84" i="75"/>
  <c r="C85" i="75"/>
  <c r="D85" i="75"/>
  <c r="C86" i="75"/>
  <c r="C87" i="75"/>
  <c r="D87" i="75"/>
  <c r="C88" i="75"/>
  <c r="D88" i="75"/>
  <c r="C89" i="75"/>
  <c r="D89" i="75"/>
  <c r="C90" i="75"/>
  <c r="D90" i="75"/>
  <c r="C91" i="75"/>
  <c r="C92" i="75"/>
  <c r="D92" i="75"/>
  <c r="C93" i="75"/>
  <c r="D93" i="75"/>
  <c r="C94" i="75"/>
  <c r="D94" i="75"/>
  <c r="D95" i="75"/>
  <c r="C55" i="75"/>
  <c r="C54" i="75"/>
  <c r="C53" i="75"/>
  <c r="D56" i="75"/>
  <c r="D53" i="75"/>
  <c r="D51" i="75"/>
  <c r="D50" i="75"/>
  <c r="D49" i="75"/>
  <c r="D48" i="75"/>
  <c r="D46" i="75"/>
  <c r="D45" i="75"/>
  <c r="D43" i="75"/>
  <c r="D42" i="75"/>
  <c r="D41" i="75"/>
  <c r="D40" i="75"/>
  <c r="D39" i="75"/>
  <c r="D38" i="75"/>
  <c r="D37" i="75"/>
  <c r="D36" i="75"/>
  <c r="D34" i="75"/>
  <c r="D33" i="75"/>
  <c r="D32" i="75"/>
  <c r="D31" i="75"/>
  <c r="D30" i="75"/>
  <c r="D29" i="75"/>
  <c r="D28" i="75"/>
  <c r="D27" i="75"/>
  <c r="D26" i="75"/>
  <c r="D25" i="75"/>
  <c r="C34" i="75"/>
  <c r="F88" i="75" s="1"/>
  <c r="F67" i="75"/>
  <c r="F78" i="75" s="1"/>
  <c r="F93" i="75" s="1"/>
  <c r="F92" i="75" s="1"/>
  <c r="F90" i="75" s="1"/>
  <c r="F89" i="75" s="1"/>
  <c r="F79" i="75" s="1"/>
  <c r="F87" i="75" s="1"/>
  <c r="F76" i="75" s="1"/>
  <c r="F85" i="75" s="1"/>
  <c r="F84" i="75" s="1"/>
  <c r="F82" i="75" s="1"/>
  <c r="F70" i="75" s="1"/>
  <c r="F71" i="75" s="1"/>
  <c r="F68" i="75" s="1"/>
  <c r="F77" i="75" s="1"/>
  <c r="F66" i="75" s="1"/>
  <c r="F65" i="75" s="1"/>
  <c r="F75" i="75" s="1"/>
  <c r="F64" i="75" s="1"/>
  <c r="F72" i="75" s="1"/>
  <c r="D55" i="75"/>
  <c r="D54" i="75"/>
  <c r="H7" i="82" l="1"/>
  <c r="F7" i="82"/>
  <c r="I7" i="82"/>
  <c r="F8" i="80"/>
  <c r="AD8" i="80" s="1"/>
  <c r="I7" i="80"/>
  <c r="I8" i="80"/>
  <c r="F10" i="80"/>
  <c r="AD10" i="80" s="1"/>
  <c r="I9" i="80"/>
  <c r="G7" i="80"/>
  <c r="F7" i="80"/>
  <c r="I10" i="80"/>
  <c r="F9" i="80"/>
  <c r="AD9" i="80" s="1"/>
  <c r="H13" i="57"/>
  <c r="I14" i="57"/>
  <c r="I11" i="79"/>
  <c r="J7" i="57"/>
  <c r="I13" i="57"/>
  <c r="I7" i="79"/>
  <c r="I9" i="79"/>
  <c r="J12" i="57"/>
  <c r="I8" i="57"/>
  <c r="I9" i="57"/>
  <c r="I10" i="57"/>
  <c r="I7" i="57"/>
  <c r="I10" i="79"/>
  <c r="I12" i="57"/>
  <c r="H9" i="57"/>
  <c r="H10" i="57"/>
  <c r="I6" i="79"/>
  <c r="G7" i="57"/>
  <c r="H14" i="57"/>
  <c r="G15" i="57"/>
  <c r="I8" i="79"/>
  <c r="J8" i="57"/>
  <c r="J9" i="57"/>
  <c r="G10" i="57"/>
  <c r="G14" i="57"/>
  <c r="G12" i="57"/>
  <c r="H8" i="57"/>
  <c r="G13" i="57"/>
  <c r="H15" i="57"/>
  <c r="G8" i="57"/>
  <c r="J10" i="57"/>
  <c r="J15" i="57"/>
  <c r="J13" i="57"/>
  <c r="J14" i="57"/>
  <c r="I15" i="57"/>
  <c r="G9" i="57"/>
  <c r="AG11" i="53"/>
  <c r="AG13" i="53"/>
  <c r="AB7" i="53"/>
  <c r="AG7" i="53" s="1"/>
  <c r="AG12" i="53"/>
  <c r="AG10" i="53"/>
  <c r="AG9" i="53"/>
  <c r="AG8" i="53"/>
  <c r="D52" i="61"/>
  <c r="AE30" i="53" s="1"/>
  <c r="T30" i="53" s="1"/>
  <c r="AE10" i="53"/>
  <c r="AG16" i="53"/>
  <c r="R15" i="53"/>
  <c r="AF30" i="53"/>
  <c r="AF10" i="53"/>
  <c r="E55" i="61"/>
  <c r="AF33" i="53" s="1"/>
  <c r="AF13" i="53"/>
  <c r="C54" i="61"/>
  <c r="AD32" i="53" s="1"/>
  <c r="AD12" i="53"/>
  <c r="AG24" i="53"/>
  <c r="R23" i="53"/>
  <c r="E54" i="61"/>
  <c r="AF32" i="53" s="1"/>
  <c r="AF12" i="53"/>
  <c r="D54" i="61"/>
  <c r="AE32" i="53" s="1"/>
  <c r="AE12" i="53"/>
  <c r="AG44" i="53"/>
  <c r="R43" i="53"/>
  <c r="E51" i="61"/>
  <c r="AF29" i="53" s="1"/>
  <c r="AF9" i="53"/>
  <c r="E60" i="61"/>
  <c r="AF38" i="53" s="1"/>
  <c r="AF18" i="53"/>
  <c r="AG36" i="53"/>
  <c r="R35" i="53"/>
  <c r="AG27" i="53"/>
  <c r="R26" i="53"/>
  <c r="AD33" i="53"/>
  <c r="C52" i="75"/>
  <c r="S12" i="53" l="1"/>
  <c r="T12" i="53"/>
  <c r="C12" i="53" s="1"/>
  <c r="S32" i="53"/>
  <c r="T32" i="53"/>
  <c r="C32" i="53" s="1"/>
  <c r="S10" i="53"/>
  <c r="T10" i="53"/>
  <c r="C10" i="53" s="1"/>
  <c r="L30" i="53"/>
  <c r="S30" i="53"/>
  <c r="AD7" i="80"/>
  <c r="AD7" i="82"/>
  <c r="F9" i="82"/>
  <c r="G12" i="53"/>
  <c r="G32" i="53"/>
  <c r="G30" i="53"/>
  <c r="V32" i="53"/>
  <c r="R32" i="53"/>
  <c r="G10" i="53"/>
  <c r="W30" i="53"/>
  <c r="L32" i="53"/>
  <c r="C30" i="53"/>
  <c r="W32" i="53"/>
  <c r="V30" i="53"/>
  <c r="U30" i="53"/>
  <c r="D30" i="53" s="1"/>
  <c r="R30" i="53"/>
  <c r="X32" i="53"/>
  <c r="U32" i="53"/>
  <c r="D32" i="53" s="1"/>
  <c r="X30" i="53"/>
  <c r="R6" i="53"/>
  <c r="B6" i="53" s="1"/>
  <c r="E12" i="53"/>
  <c r="E10" i="53"/>
  <c r="E32" i="53"/>
  <c r="E30" i="53"/>
  <c r="V12" i="53"/>
  <c r="R12" i="53"/>
  <c r="X12" i="53"/>
  <c r="W12" i="53"/>
  <c r="U12" i="53"/>
  <c r="D12" i="53" s="1"/>
  <c r="L12" i="53"/>
  <c r="X10" i="53"/>
  <c r="R10" i="53"/>
  <c r="L10" i="53"/>
  <c r="U10" i="53"/>
  <c r="D10" i="53" s="1"/>
  <c r="W10" i="53"/>
  <c r="V10" i="53"/>
  <c r="C51" i="75"/>
  <c r="C50" i="75"/>
  <c r="C49" i="75"/>
  <c r="C48" i="75"/>
  <c r="C47" i="75"/>
  <c r="C46" i="75"/>
  <c r="C45" i="75"/>
  <c r="C44" i="75"/>
  <c r="C43" i="75"/>
  <c r="C42" i="75"/>
  <c r="C41" i="75"/>
  <c r="C40" i="75"/>
  <c r="C39" i="75"/>
  <c r="C38" i="75"/>
  <c r="C37" i="75"/>
  <c r="C36" i="75"/>
  <c r="C35" i="75"/>
  <c r="C33" i="75"/>
  <c r="C28" i="75"/>
  <c r="AC7" i="82" l="1"/>
  <c r="AC9" i="82" s="1"/>
  <c r="AD9" i="82"/>
  <c r="E16" i="82" s="1"/>
  <c r="AC7" i="80"/>
  <c r="AD12" i="80"/>
  <c r="E19" i="80" s="1"/>
  <c r="C21" i="75"/>
  <c r="B15" i="75"/>
  <c r="B13" i="75"/>
  <c r="C32" i="75"/>
  <c r="C31" i="75"/>
  <c r="C30" i="75"/>
  <c r="C29" i="75"/>
  <c r="C27" i="75"/>
  <c r="C26" i="75"/>
  <c r="C25" i="75"/>
  <c r="D11" i="75"/>
  <c r="F11" i="75"/>
  <c r="E11" i="75"/>
  <c r="G11" i="75"/>
  <c r="H11" i="75"/>
  <c r="L11" i="75"/>
  <c r="K11" i="75"/>
  <c r="J11" i="75"/>
  <c r="I11" i="75"/>
  <c r="F55" i="75" l="1"/>
  <c r="F94" i="75" s="1"/>
  <c r="AR7" i="75"/>
  <c r="AQ7" i="75"/>
  <c r="AP7" i="75"/>
  <c r="K15" i="75" s="1"/>
  <c r="AO7" i="75"/>
  <c r="AN7" i="75"/>
  <c r="AM7" i="75"/>
  <c r="J15" i="75" s="1"/>
  <c r="AL7" i="75"/>
  <c r="AK7" i="75"/>
  <c r="AJ7" i="75"/>
  <c r="AI7" i="75"/>
  <c r="I15" i="75" s="1"/>
  <c r="I18" i="75" s="1"/>
  <c r="G69" i="75" s="1"/>
  <c r="AH7" i="75"/>
  <c r="AG7" i="75"/>
  <c r="AF7" i="75"/>
  <c r="H15" i="75" s="1"/>
  <c r="AE7" i="75"/>
  <c r="AD7" i="75"/>
  <c r="AC7" i="75"/>
  <c r="AB7" i="75"/>
  <c r="G15" i="75" s="1"/>
  <c r="AA7" i="75"/>
  <c r="Z7" i="75"/>
  <c r="Y7" i="75"/>
  <c r="X7" i="75"/>
  <c r="W7" i="75"/>
  <c r="V7" i="75"/>
  <c r="U7" i="75"/>
  <c r="E15" i="75" s="1"/>
  <c r="T7" i="75"/>
  <c r="S7" i="75"/>
  <c r="R7" i="75"/>
  <c r="Q7" i="75"/>
  <c r="P7" i="75"/>
  <c r="O7" i="75"/>
  <c r="N7" i="75"/>
  <c r="M7" i="75"/>
  <c r="L7" i="75"/>
  <c r="K7" i="75"/>
  <c r="J7" i="75"/>
  <c r="I7" i="75"/>
  <c r="H7" i="75"/>
  <c r="G7" i="75"/>
  <c r="F7" i="75"/>
  <c r="E7" i="75"/>
  <c r="AR6" i="75"/>
  <c r="AQ6" i="75"/>
  <c r="AP6" i="75"/>
  <c r="K13" i="75" s="1"/>
  <c r="AO6" i="75"/>
  <c r="AN6" i="75"/>
  <c r="L13" i="75" s="1"/>
  <c r="L17" i="75" s="1"/>
  <c r="G34" i="75" s="1"/>
  <c r="L35" i="61" s="1"/>
  <c r="AM6" i="75"/>
  <c r="J13" i="75" s="1"/>
  <c r="AL6" i="75"/>
  <c r="AK6" i="75"/>
  <c r="AJ6" i="75"/>
  <c r="AI6" i="75"/>
  <c r="I13" i="75" s="1"/>
  <c r="I17" i="75" s="1"/>
  <c r="G30" i="75" s="1"/>
  <c r="AH6" i="75"/>
  <c r="AG6" i="75"/>
  <c r="AF6" i="75"/>
  <c r="H13" i="75" s="1"/>
  <c r="AE6" i="75"/>
  <c r="AD6" i="75"/>
  <c r="AC6" i="75"/>
  <c r="AB6" i="75"/>
  <c r="G13" i="75" s="1"/>
  <c r="AA6" i="75"/>
  <c r="Z6" i="75"/>
  <c r="Y6" i="75"/>
  <c r="X6" i="75"/>
  <c r="W6" i="75"/>
  <c r="V6" i="75"/>
  <c r="U6" i="75"/>
  <c r="E13" i="75" s="1"/>
  <c r="T6" i="75"/>
  <c r="S6" i="75"/>
  <c r="R6" i="75"/>
  <c r="Q6" i="75"/>
  <c r="P6" i="75"/>
  <c r="O6" i="75"/>
  <c r="N6" i="75"/>
  <c r="M6" i="75"/>
  <c r="L6" i="75"/>
  <c r="K6" i="75"/>
  <c r="J6" i="75"/>
  <c r="I6" i="75"/>
  <c r="H6" i="75"/>
  <c r="G6" i="75"/>
  <c r="F6" i="75"/>
  <c r="E6" i="75"/>
  <c r="AR5" i="75"/>
  <c r="AQ5" i="75"/>
  <c r="AP5" i="75"/>
  <c r="K12" i="75" s="1"/>
  <c r="AO5" i="75"/>
  <c r="AN5" i="75"/>
  <c r="L12" i="75" s="1"/>
  <c r="AM5" i="75"/>
  <c r="J12" i="75" s="1"/>
  <c r="AL5" i="75"/>
  <c r="AK5" i="75"/>
  <c r="AJ5" i="75"/>
  <c r="AI5" i="75"/>
  <c r="I12" i="75" s="1"/>
  <c r="AH5" i="75"/>
  <c r="AG5" i="75"/>
  <c r="AF5" i="75"/>
  <c r="H12" i="75" s="1"/>
  <c r="AE5" i="75"/>
  <c r="AD5" i="75"/>
  <c r="AC5" i="75"/>
  <c r="AB5" i="75"/>
  <c r="G12" i="75" s="1"/>
  <c r="AA5" i="75"/>
  <c r="Z5" i="75"/>
  <c r="Y5" i="75"/>
  <c r="X5" i="75"/>
  <c r="W5" i="75"/>
  <c r="V5" i="75"/>
  <c r="U5" i="75"/>
  <c r="E12" i="75" s="1"/>
  <c r="T5" i="75"/>
  <c r="S5" i="75"/>
  <c r="R5" i="75"/>
  <c r="Q5" i="75"/>
  <c r="P5" i="75"/>
  <c r="O5" i="75"/>
  <c r="N5" i="75"/>
  <c r="M5" i="75"/>
  <c r="L5" i="75"/>
  <c r="K5" i="75"/>
  <c r="J5" i="75"/>
  <c r="I5" i="75"/>
  <c r="H5" i="75"/>
  <c r="G5" i="75"/>
  <c r="F5" i="75"/>
  <c r="E5" i="75"/>
  <c r="D7" i="75"/>
  <c r="D6" i="75"/>
  <c r="D5" i="75"/>
  <c r="F12" i="75" l="1"/>
  <c r="F8" i="62" s="1"/>
  <c r="L15" i="75"/>
  <c r="L18" i="75" s="1"/>
  <c r="J17" i="75"/>
  <c r="J18" i="75"/>
  <c r="H18" i="75"/>
  <c r="H17" i="75"/>
  <c r="K17" i="75"/>
  <c r="G32" i="75" s="1"/>
  <c r="K18" i="75"/>
  <c r="G71" i="75" s="1"/>
  <c r="G41" i="75"/>
  <c r="G17" i="75"/>
  <c r="G18" i="75"/>
  <c r="G80" i="75"/>
  <c r="E17" i="75"/>
  <c r="E18" i="75"/>
  <c r="D12" i="75"/>
  <c r="D13" i="75"/>
  <c r="D17" i="75" s="1"/>
  <c r="D15" i="75"/>
  <c r="D18" i="75" s="1"/>
  <c r="F13" i="75"/>
  <c r="F17" i="75" s="1"/>
  <c r="F15" i="75"/>
  <c r="F18" i="75" s="1"/>
  <c r="D7" i="74"/>
  <c r="C7" i="74"/>
  <c r="AA6" i="74"/>
  <c r="Z6" i="74"/>
  <c r="X6" i="74"/>
  <c r="S6" i="74"/>
  <c r="R6" i="74"/>
  <c r="P6" i="74"/>
  <c r="K6" i="74"/>
  <c r="J6" i="74"/>
  <c r="H6" i="74"/>
  <c r="D6" i="74"/>
  <c r="C6" i="74"/>
  <c r="AD5" i="74"/>
  <c r="AD7" i="74" s="1"/>
  <c r="AC5" i="74"/>
  <c r="AC7" i="74" s="1"/>
  <c r="AB5" i="74"/>
  <c r="AB7" i="74" s="1"/>
  <c r="AA5" i="74"/>
  <c r="AA7" i="74" s="1"/>
  <c r="Z5" i="74"/>
  <c r="Z7" i="74" s="1"/>
  <c r="Y5" i="74"/>
  <c r="Y6" i="74" s="1"/>
  <c r="X5" i="74"/>
  <c r="X7" i="74" s="1"/>
  <c r="W5" i="74"/>
  <c r="W6" i="74" s="1"/>
  <c r="V5" i="74"/>
  <c r="V7" i="74" s="1"/>
  <c r="U5" i="74"/>
  <c r="U7" i="74" s="1"/>
  <c r="T5" i="74"/>
  <c r="T7" i="74" s="1"/>
  <c r="S5" i="74"/>
  <c r="S7" i="74" s="1"/>
  <c r="R5" i="74"/>
  <c r="R7" i="74" s="1"/>
  <c r="Q5" i="74"/>
  <c r="Q6" i="74" s="1"/>
  <c r="P5" i="74"/>
  <c r="P7" i="74" s="1"/>
  <c r="O5" i="74"/>
  <c r="O6" i="74" s="1"/>
  <c r="N5" i="74"/>
  <c r="N7" i="74" s="1"/>
  <c r="M5" i="74"/>
  <c r="M7" i="74" s="1"/>
  <c r="L5" i="74"/>
  <c r="L7" i="74" s="1"/>
  <c r="K5" i="74"/>
  <c r="K7" i="74" s="1"/>
  <c r="J5" i="74"/>
  <c r="J7" i="74" s="1"/>
  <c r="I5" i="74"/>
  <c r="I6" i="74" s="1"/>
  <c r="H5" i="74"/>
  <c r="H7" i="74" s="1"/>
  <c r="G5" i="74"/>
  <c r="G6" i="74" s="1"/>
  <c r="F5" i="74"/>
  <c r="F7" i="74" s="1"/>
  <c r="E5" i="74"/>
  <c r="E7" i="74" s="1"/>
  <c r="AD3" i="74" a="1"/>
  <c r="AD3" i="74" s="1"/>
  <c r="AC3" i="74" a="1"/>
  <c r="AC3" i="74" s="1"/>
  <c r="AB3" i="74" a="1"/>
  <c r="AB3" i="74" s="1"/>
  <c r="AA3" i="74" a="1"/>
  <c r="AA3" i="74" s="1"/>
  <c r="Z3" i="74" a="1"/>
  <c r="Z3" i="74" s="1"/>
  <c r="Y3" i="74" a="1"/>
  <c r="Y3" i="74" s="1"/>
  <c r="X3" i="74" a="1"/>
  <c r="X3" i="74" s="1"/>
  <c r="W3" i="74" a="1"/>
  <c r="W3" i="74" s="1"/>
  <c r="V3" i="74" a="1"/>
  <c r="V3" i="74" s="1"/>
  <c r="U3" i="74" a="1"/>
  <c r="U3" i="74" s="1"/>
  <c r="T3" i="74" a="1"/>
  <c r="T3" i="74" s="1"/>
  <c r="S3" i="74" a="1"/>
  <c r="S3" i="74" s="1"/>
  <c r="R3" i="74" a="1"/>
  <c r="R3" i="74" s="1"/>
  <c r="Q3" i="74" a="1"/>
  <c r="Q3" i="74" s="1"/>
  <c r="P3" i="74" a="1"/>
  <c r="P3" i="74" s="1"/>
  <c r="O3" i="74" a="1"/>
  <c r="O3" i="74" s="1"/>
  <c r="N3" i="74" a="1"/>
  <c r="N3" i="74" s="1"/>
  <c r="M3" i="74" a="1"/>
  <c r="M3" i="74" s="1"/>
  <c r="L3" i="74" a="1"/>
  <c r="L3" i="74" s="1"/>
  <c r="K3" i="74" a="1"/>
  <c r="K3" i="74" s="1"/>
  <c r="J3" i="74" a="1"/>
  <c r="J3" i="74" s="1"/>
  <c r="I3" i="74" a="1"/>
  <c r="I3" i="74" s="1"/>
  <c r="H3" i="74" a="1"/>
  <c r="H3" i="74" s="1"/>
  <c r="G3" i="74" a="1"/>
  <c r="G3" i="74" s="1"/>
  <c r="F3" i="74" a="1"/>
  <c r="F3" i="74" s="1"/>
  <c r="E3" i="74" a="1"/>
  <c r="E3" i="74" s="1"/>
  <c r="D3" i="74" a="1"/>
  <c r="D3" i="74" s="1"/>
  <c r="C3" i="74" a="1"/>
  <c r="C3" i="74" s="1"/>
  <c r="F9" i="62" l="1"/>
  <c r="F7" i="62"/>
  <c r="G73" i="75"/>
  <c r="L55" i="61" s="1"/>
  <c r="E6" i="49"/>
  <c r="G94" i="75"/>
  <c r="F96" i="61" s="1"/>
  <c r="I96" i="61" s="1"/>
  <c r="J96" i="61" s="1"/>
  <c r="G92" i="75"/>
  <c r="F94" i="61" s="1"/>
  <c r="G93" i="75"/>
  <c r="F95" i="61" s="1"/>
  <c r="G50" i="75"/>
  <c r="F77" i="61" s="1"/>
  <c r="K77" i="61" s="1"/>
  <c r="L77" i="61" s="1"/>
  <c r="F9" i="57" s="1"/>
  <c r="AD9" i="57" s="1"/>
  <c r="AC9" i="57" s="1"/>
  <c r="G40" i="75"/>
  <c r="F42" i="61" s="1"/>
  <c r="J42" i="61" s="1"/>
  <c r="K42" i="61" s="1"/>
  <c r="G29" i="75"/>
  <c r="F33" i="61" s="1"/>
  <c r="J33" i="61" s="1"/>
  <c r="K33" i="61" s="1"/>
  <c r="G64" i="75"/>
  <c r="G75" i="75"/>
  <c r="G45" i="75"/>
  <c r="F46" i="61" s="1"/>
  <c r="G49" i="75"/>
  <c r="F76" i="61" s="1"/>
  <c r="K76" i="61" s="1"/>
  <c r="L76" i="61" s="1"/>
  <c r="F8" i="57" s="1"/>
  <c r="AD8" i="57" s="1"/>
  <c r="AC8" i="57" s="1"/>
  <c r="G39" i="75"/>
  <c r="F41" i="61" s="1"/>
  <c r="N19" i="53" s="1"/>
  <c r="O19" i="53" s="1"/>
  <c r="G28" i="75"/>
  <c r="F32" i="61" s="1"/>
  <c r="N10" i="53" s="1"/>
  <c r="O10" i="53" s="1"/>
  <c r="G36" i="75"/>
  <c r="F38" i="61" s="1"/>
  <c r="J38" i="61" s="1"/>
  <c r="K38" i="61" s="1"/>
  <c r="G25" i="75"/>
  <c r="G76" i="75"/>
  <c r="F59" i="61" s="1"/>
  <c r="J59" i="61" s="1"/>
  <c r="K59" i="61" s="1"/>
  <c r="G87" i="75"/>
  <c r="F80" i="61" s="1"/>
  <c r="G65" i="75"/>
  <c r="F50" i="61" s="1"/>
  <c r="J50" i="61" s="1"/>
  <c r="K50" i="61" s="1"/>
  <c r="G89" i="75"/>
  <c r="F82" i="61" s="1"/>
  <c r="K82" i="61" s="1"/>
  <c r="L82" i="61" s="1"/>
  <c r="F14" i="57" s="1"/>
  <c r="AD14" i="57" s="1"/>
  <c r="AC14" i="57" s="1"/>
  <c r="G79" i="75"/>
  <c r="F62" i="61" s="1"/>
  <c r="J62" i="61" s="1"/>
  <c r="K62" i="61" s="1"/>
  <c r="G68" i="75"/>
  <c r="F53" i="61" s="1"/>
  <c r="J53" i="61" s="1"/>
  <c r="K53" i="61" s="1"/>
  <c r="G37" i="75"/>
  <c r="F39" i="61" s="1"/>
  <c r="J39" i="61" s="1"/>
  <c r="K39" i="61" s="1"/>
  <c r="G48" i="75"/>
  <c r="G26" i="75"/>
  <c r="F30" i="61" s="1"/>
  <c r="J30" i="61" s="1"/>
  <c r="K30" i="61" s="1"/>
  <c r="G81" i="75"/>
  <c r="F63" i="61" s="1"/>
  <c r="J63" i="61" s="1"/>
  <c r="K63" i="61" s="1"/>
  <c r="G72" i="75"/>
  <c r="F56" i="61" s="1"/>
  <c r="J56" i="61" s="1"/>
  <c r="K56" i="61" s="1"/>
  <c r="G90" i="75"/>
  <c r="F83" i="61" s="1"/>
  <c r="K83" i="61" s="1"/>
  <c r="L83" i="61" s="1"/>
  <c r="F15" i="57" s="1"/>
  <c r="AD15" i="57" s="1"/>
  <c r="AC15" i="57" s="1"/>
  <c r="F55" i="61"/>
  <c r="G85" i="75"/>
  <c r="F67" i="61" s="1"/>
  <c r="J67" i="61" s="1"/>
  <c r="K67" i="61" s="1"/>
  <c r="G70" i="75"/>
  <c r="F54" i="61" s="1"/>
  <c r="J54" i="61" s="1"/>
  <c r="K54" i="61" s="1"/>
  <c r="G82" i="75"/>
  <c r="F64" i="61" s="1"/>
  <c r="J64" i="61" s="1"/>
  <c r="K64" i="61" s="1"/>
  <c r="G66" i="75"/>
  <c r="F51" i="61" s="1"/>
  <c r="J51" i="61" s="1"/>
  <c r="K51" i="61" s="1"/>
  <c r="G77" i="75"/>
  <c r="F60" i="61" s="1"/>
  <c r="J60" i="61" s="1"/>
  <c r="K60" i="61" s="1"/>
  <c r="G46" i="75"/>
  <c r="F47" i="61" s="1"/>
  <c r="J47" i="61" s="1"/>
  <c r="K47" i="61" s="1"/>
  <c r="G51" i="75"/>
  <c r="F78" i="61" s="1"/>
  <c r="K78" i="61" s="1"/>
  <c r="L78" i="61" s="1"/>
  <c r="F10" i="57" s="1"/>
  <c r="AD10" i="57" s="1"/>
  <c r="AC10" i="57" s="1"/>
  <c r="G53" i="75"/>
  <c r="F91" i="61" s="1"/>
  <c r="G54" i="75"/>
  <c r="F92" i="61" s="1"/>
  <c r="G92" i="61" s="1"/>
  <c r="G55" i="75"/>
  <c r="F93" i="61" s="1"/>
  <c r="I93" i="61" s="1"/>
  <c r="F35" i="61"/>
  <c r="J35" i="61" s="1"/>
  <c r="G33" i="75"/>
  <c r="F36" i="61" s="1"/>
  <c r="J36" i="61" s="1"/>
  <c r="K36" i="61" s="1"/>
  <c r="G42" i="75"/>
  <c r="F43" i="61" s="1"/>
  <c r="J43" i="61" s="1"/>
  <c r="K43" i="61" s="1"/>
  <c r="G31" i="75"/>
  <c r="F34" i="61" s="1"/>
  <c r="G34" i="61" s="1"/>
  <c r="G43" i="75"/>
  <c r="F44" i="61" s="1"/>
  <c r="J44" i="61" s="1"/>
  <c r="K44" i="61" s="1"/>
  <c r="G38" i="75"/>
  <c r="F40" i="61" s="1"/>
  <c r="J40" i="61" s="1"/>
  <c r="K40" i="61" s="1"/>
  <c r="G27" i="75"/>
  <c r="F31" i="61" s="1"/>
  <c r="J31" i="61" s="1"/>
  <c r="K31" i="61" s="1"/>
  <c r="G84" i="75"/>
  <c r="G67" i="75"/>
  <c r="F52" i="61" s="1"/>
  <c r="N30" i="53" s="1"/>
  <c r="O30" i="53" s="1"/>
  <c r="G78" i="75"/>
  <c r="F61" i="61" s="1"/>
  <c r="N39" i="53" s="1"/>
  <c r="O39" i="53" s="1"/>
  <c r="G88" i="75"/>
  <c r="F81" i="61" s="1"/>
  <c r="K81" i="61" s="1"/>
  <c r="L81" i="61" s="1"/>
  <c r="F13" i="57" s="1"/>
  <c r="AD13" i="57" s="1"/>
  <c r="AC13" i="57" s="1"/>
  <c r="M13" i="75"/>
  <c r="M17" i="75" s="1"/>
  <c r="M15" i="75"/>
  <c r="M18" i="75" s="1"/>
  <c r="M12" i="75"/>
  <c r="G7" i="74"/>
  <c r="O7" i="74"/>
  <c r="W7" i="74"/>
  <c r="L6" i="74"/>
  <c r="T6" i="74"/>
  <c r="AB6" i="74"/>
  <c r="E6" i="74"/>
  <c r="M6" i="74"/>
  <c r="U6" i="74"/>
  <c r="AC6" i="74"/>
  <c r="I7" i="74"/>
  <c r="Q7" i="74"/>
  <c r="Y7" i="74"/>
  <c r="F6" i="74"/>
  <c r="N6" i="74"/>
  <c r="V6" i="74"/>
  <c r="AD6" i="74"/>
  <c r="G93" i="61" l="1"/>
  <c r="G8" i="79" s="1"/>
  <c r="J93" i="61"/>
  <c r="F8" i="79" s="1"/>
  <c r="G86" i="75"/>
  <c r="K35" i="61"/>
  <c r="M13" i="53"/>
  <c r="M33" i="53" s="1"/>
  <c r="J55" i="61"/>
  <c r="K55" i="61" s="1"/>
  <c r="F97" i="61"/>
  <c r="K80" i="61"/>
  <c r="F84" i="61"/>
  <c r="G96" i="61"/>
  <c r="G11" i="79" s="1"/>
  <c r="G54" i="61"/>
  <c r="F75" i="61"/>
  <c r="J46" i="61"/>
  <c r="F48" i="61"/>
  <c r="J41" i="61"/>
  <c r="F45" i="61"/>
  <c r="J61" i="61"/>
  <c r="J32" i="61"/>
  <c r="K32" i="61" s="1"/>
  <c r="J52" i="61"/>
  <c r="G47" i="75"/>
  <c r="G56" i="75"/>
  <c r="G95" i="75"/>
  <c r="F66" i="61"/>
  <c r="J34" i="61"/>
  <c r="K34" i="61" s="1"/>
  <c r="G52" i="75"/>
  <c r="G91" i="75"/>
  <c r="F49" i="61"/>
  <c r="J49" i="61" s="1"/>
  <c r="K49" i="61" s="1"/>
  <c r="G74" i="75"/>
  <c r="F58" i="61"/>
  <c r="J58" i="61" s="1"/>
  <c r="K58" i="61" s="1"/>
  <c r="G83" i="75"/>
  <c r="G35" i="75"/>
  <c r="F29" i="61"/>
  <c r="F37" i="61" s="1"/>
  <c r="G44" i="75"/>
  <c r="L80" i="61" l="1"/>
  <c r="K84" i="61"/>
  <c r="K75" i="61"/>
  <c r="K79" i="61" s="1"/>
  <c r="F79" i="61"/>
  <c r="F85" i="61" s="1"/>
  <c r="F65" i="61"/>
  <c r="J66" i="61"/>
  <c r="J68" i="61" s="1"/>
  <c r="F68" i="61"/>
  <c r="F57" i="61"/>
  <c r="K46" i="61"/>
  <c r="J48" i="61"/>
  <c r="K61" i="61"/>
  <c r="K65" i="61" s="1"/>
  <c r="J65" i="61"/>
  <c r="K41" i="61"/>
  <c r="J45" i="61"/>
  <c r="K52" i="61"/>
  <c r="J57" i="61"/>
  <c r="G96" i="75"/>
  <c r="G97" i="75" s="1"/>
  <c r="J29" i="61"/>
  <c r="G57" i="75"/>
  <c r="G58" i="75" s="1"/>
  <c r="F69" i="61" l="1"/>
  <c r="AD8" i="79"/>
  <c r="AC8" i="79" s="1"/>
  <c r="K66" i="61"/>
  <c r="K68" i="61" s="1"/>
  <c r="F12" i="57"/>
  <c r="L84" i="61"/>
  <c r="L75" i="61"/>
  <c r="L79" i="61" s="1"/>
  <c r="K85" i="61"/>
  <c r="K45" i="61"/>
  <c r="K48" i="61"/>
  <c r="K57" i="61"/>
  <c r="K29" i="61"/>
  <c r="J37" i="61"/>
  <c r="J69" i="61" s="1"/>
  <c r="E33" i="61"/>
  <c r="AD12" i="57" l="1"/>
  <c r="AC12" i="57" s="1"/>
  <c r="H21" i="57"/>
  <c r="I21" i="57" s="1"/>
  <c r="F7" i="57"/>
  <c r="F17" i="57" s="1"/>
  <c r="L85" i="61"/>
  <c r="E53" i="61"/>
  <c r="AF31" i="53" s="1"/>
  <c r="AF11" i="53"/>
  <c r="K37" i="61"/>
  <c r="K69" i="61" s="1"/>
  <c r="D41" i="61"/>
  <c r="D40" i="61"/>
  <c r="D31" i="61"/>
  <c r="AD7" i="57" l="1"/>
  <c r="AC7" i="57" s="1"/>
  <c r="AC17" i="57" s="1"/>
  <c r="D51" i="61"/>
  <c r="AE29" i="53" s="1"/>
  <c r="AE9" i="53"/>
  <c r="D61" i="61"/>
  <c r="AE39" i="53" s="1"/>
  <c r="AE19" i="53"/>
  <c r="D60" i="61"/>
  <c r="AE38" i="53" s="1"/>
  <c r="AE18" i="53"/>
  <c r="AD17" i="57" l="1"/>
  <c r="S19" i="53"/>
  <c r="T19" i="53"/>
  <c r="C19" i="53" s="1"/>
  <c r="S38" i="53"/>
  <c r="T38" i="53"/>
  <c r="C38" i="53" s="1"/>
  <c r="S39" i="53"/>
  <c r="T39" i="53"/>
  <c r="C39" i="53" s="1"/>
  <c r="S29" i="53"/>
  <c r="T29" i="53"/>
  <c r="C29" i="53" s="1"/>
  <c r="S18" i="53"/>
  <c r="T18" i="53"/>
  <c r="C18" i="53" s="1"/>
  <c r="S9" i="53"/>
  <c r="T9" i="53"/>
  <c r="C9" i="53" s="1"/>
  <c r="G18" i="53"/>
  <c r="G38" i="53"/>
  <c r="G19" i="53"/>
  <c r="G9" i="53"/>
  <c r="G39" i="53"/>
  <c r="G29" i="53"/>
  <c r="E18" i="53"/>
  <c r="E38" i="53"/>
  <c r="E29" i="53"/>
  <c r="E9" i="53"/>
  <c r="R18" i="53"/>
  <c r="W18" i="53"/>
  <c r="X18" i="53"/>
  <c r="L18" i="53"/>
  <c r="V18" i="53"/>
  <c r="W9" i="53"/>
  <c r="L9" i="53"/>
  <c r="V9" i="53"/>
  <c r="R9" i="53"/>
  <c r="X9" i="53"/>
  <c r="L19" i="53"/>
  <c r="X19" i="53"/>
  <c r="W19" i="53"/>
  <c r="V19" i="53"/>
  <c r="R19" i="53"/>
  <c r="R39" i="53"/>
  <c r="X39" i="53"/>
  <c r="W39" i="53"/>
  <c r="V39" i="53"/>
  <c r="R38" i="53"/>
  <c r="X38" i="53"/>
  <c r="W38" i="53"/>
  <c r="V38" i="53"/>
  <c r="X29" i="53"/>
  <c r="V29" i="53"/>
  <c r="W29" i="53"/>
  <c r="R29" i="53"/>
  <c r="L39" i="53"/>
  <c r="L38" i="53"/>
  <c r="L29" i="53"/>
  <c r="L104" i="61" l="1"/>
  <c r="G8" i="80" s="1"/>
  <c r="AC8" i="80" s="1"/>
  <c r="L105" i="61" l="1"/>
  <c r="G9" i="80" s="1"/>
  <c r="AC9" i="80" s="1"/>
  <c r="E67" i="61" l="1"/>
  <c r="D67" i="61"/>
  <c r="AE45" i="53" s="1"/>
  <c r="D66" i="61"/>
  <c r="AE44" i="53" s="1"/>
  <c r="C67" i="61"/>
  <c r="AD45" i="53" s="1"/>
  <c r="C47" i="61"/>
  <c r="C66" i="61"/>
  <c r="S44" i="53" l="1"/>
  <c r="T44" i="53"/>
  <c r="C44" i="53" s="1"/>
  <c r="S45" i="53"/>
  <c r="T45" i="53"/>
  <c r="C45" i="53" s="1"/>
  <c r="G44" i="53"/>
  <c r="H45" i="53"/>
  <c r="G45" i="53"/>
  <c r="K45" i="53"/>
  <c r="J45" i="53"/>
  <c r="I45" i="53"/>
  <c r="W45" i="53"/>
  <c r="R45" i="53"/>
  <c r="V45" i="53"/>
  <c r="L45" i="53"/>
  <c r="X45" i="53"/>
  <c r="U45" i="53"/>
  <c r="D45" i="53" s="1"/>
  <c r="AF45" i="53"/>
  <c r="E45" i="53" s="1"/>
  <c r="AD25" i="53"/>
  <c r="X44" i="53"/>
  <c r="W44" i="53"/>
  <c r="V44" i="53"/>
  <c r="L44" i="53"/>
  <c r="R44" i="53"/>
  <c r="AD24" i="53"/>
  <c r="AD44" i="53"/>
  <c r="K44" i="53" s="1"/>
  <c r="L106" i="61"/>
  <c r="G10" i="80" s="1"/>
  <c r="AC10" i="80" s="1"/>
  <c r="AC12" i="80" s="1"/>
  <c r="E47" i="61"/>
  <c r="D47" i="61"/>
  <c r="AE25" i="53" s="1"/>
  <c r="D46" i="61"/>
  <c r="C43" i="61"/>
  <c r="AD21" i="53" s="1"/>
  <c r="C44" i="61"/>
  <c r="AD22" i="53" s="1"/>
  <c r="C42" i="61"/>
  <c r="AD20" i="53" s="1"/>
  <c r="C41" i="61"/>
  <c r="AD19" i="53" s="1"/>
  <c r="C40" i="61"/>
  <c r="AD18" i="53" s="1"/>
  <c r="C39" i="61"/>
  <c r="AD17" i="53" s="1"/>
  <c r="C38" i="61"/>
  <c r="AD16" i="53" s="1"/>
  <c r="C29" i="61"/>
  <c r="S25" i="53" l="1"/>
  <c r="T25" i="53"/>
  <c r="C25" i="53" s="1"/>
  <c r="H25" i="53"/>
  <c r="G25" i="53"/>
  <c r="K25" i="53"/>
  <c r="I25" i="53"/>
  <c r="J25" i="53"/>
  <c r="H19" i="53"/>
  <c r="K19" i="53"/>
  <c r="J19" i="53"/>
  <c r="I19" i="53"/>
  <c r="H44" i="53"/>
  <c r="I18" i="53"/>
  <c r="H18" i="53"/>
  <c r="K18" i="53"/>
  <c r="I44" i="53"/>
  <c r="J44" i="53"/>
  <c r="AJ45" i="53"/>
  <c r="AI45" i="53" s="1"/>
  <c r="AF25" i="53"/>
  <c r="E25" i="53" s="1"/>
  <c r="AE24" i="53"/>
  <c r="R25" i="53"/>
  <c r="V25" i="53"/>
  <c r="U25" i="53"/>
  <c r="D25" i="53" s="1"/>
  <c r="X25" i="53"/>
  <c r="W25" i="53"/>
  <c r="L25" i="53"/>
  <c r="U18" i="53"/>
  <c r="D18" i="53" s="1"/>
  <c r="U44" i="53"/>
  <c r="D44" i="53" s="1"/>
  <c r="U19" i="53"/>
  <c r="D19" i="53" s="1"/>
  <c r="C49" i="61"/>
  <c r="AD7" i="53"/>
  <c r="C64" i="61"/>
  <c r="C63" i="61"/>
  <c r="C61" i="61"/>
  <c r="C59" i="61"/>
  <c r="C62" i="61"/>
  <c r="C60" i="61"/>
  <c r="C58" i="61"/>
  <c r="S24" i="53" l="1"/>
  <c r="T24" i="53"/>
  <c r="C24" i="53" s="1"/>
  <c r="AD27" i="53"/>
  <c r="AJ44" i="53"/>
  <c r="AI44" i="53" s="1"/>
  <c r="J24" i="53"/>
  <c r="K24" i="53"/>
  <c r="I24" i="53"/>
  <c r="G24" i="53"/>
  <c r="H24" i="53"/>
  <c r="AJ18" i="53"/>
  <c r="AI18" i="53" s="1"/>
  <c r="AJ19" i="53"/>
  <c r="AI19" i="53" s="1"/>
  <c r="AJ25" i="53"/>
  <c r="AI25" i="53" s="1"/>
  <c r="AD38" i="53"/>
  <c r="AD37" i="53"/>
  <c r="R24" i="53"/>
  <c r="X24" i="53"/>
  <c r="W24" i="53"/>
  <c r="U24" i="53"/>
  <c r="D24" i="53" s="1"/>
  <c r="L24" i="53"/>
  <c r="V24" i="53"/>
  <c r="AD36" i="53"/>
  <c r="AD39" i="53"/>
  <c r="AD40" i="53"/>
  <c r="AD41" i="53"/>
  <c r="AD42" i="53"/>
  <c r="U39" i="53" l="1"/>
  <c r="D39" i="53" s="1"/>
  <c r="J39" i="53"/>
  <c r="H39" i="53"/>
  <c r="I39" i="53"/>
  <c r="K39" i="53"/>
  <c r="U38" i="53"/>
  <c r="D38" i="53" s="1"/>
  <c r="H38" i="53"/>
  <c r="J38" i="53"/>
  <c r="I38" i="53"/>
  <c r="K38" i="53"/>
  <c r="AJ24" i="53"/>
  <c r="AI24" i="53" l="1"/>
  <c r="AJ38" i="53"/>
  <c r="AI38" i="53" s="1"/>
  <c r="AJ39" i="53"/>
  <c r="AI39" i="53" s="1"/>
  <c r="D38" i="61" l="1"/>
  <c r="AE16" i="53" s="1"/>
  <c r="AE13" i="53"/>
  <c r="E49" i="61"/>
  <c r="AF27" i="53" s="1"/>
  <c r="D49" i="61"/>
  <c r="AE27" i="53" s="1"/>
  <c r="D29" i="61"/>
  <c r="AE7" i="53" s="1"/>
  <c r="E44" i="61"/>
  <c r="AF22" i="53" s="1"/>
  <c r="D44" i="61"/>
  <c r="AE22" i="53" s="1"/>
  <c r="E43" i="61"/>
  <c r="AF21" i="53" s="1"/>
  <c r="D43" i="61"/>
  <c r="AE21" i="53" s="1"/>
  <c r="E42" i="61"/>
  <c r="AF20" i="53" s="1"/>
  <c r="D42" i="61"/>
  <c r="AE20" i="53" s="1"/>
  <c r="E39" i="61"/>
  <c r="AF17" i="53" s="1"/>
  <c r="D39" i="61"/>
  <c r="AE17" i="53" s="1"/>
  <c r="E38" i="61"/>
  <c r="AF16" i="53" s="1"/>
  <c r="E36" i="61"/>
  <c r="AF14" i="53" s="1"/>
  <c r="E30" i="61"/>
  <c r="E29" i="61"/>
  <c r="AF7" i="53" s="1"/>
  <c r="D36" i="61"/>
  <c r="AE14" i="53" s="1"/>
  <c r="D33" i="61"/>
  <c r="AE11" i="53" s="1"/>
  <c r="D30" i="61"/>
  <c r="C33" i="61"/>
  <c r="C31" i="61"/>
  <c r="C30" i="61"/>
  <c r="S22" i="53" l="1"/>
  <c r="T22" i="53"/>
  <c r="S17" i="53"/>
  <c r="T17" i="53"/>
  <c r="T7" i="53"/>
  <c r="C7" i="53" s="1"/>
  <c r="G7" i="53"/>
  <c r="S27" i="53"/>
  <c r="T27" i="53"/>
  <c r="S21" i="53"/>
  <c r="T21" i="53"/>
  <c r="S20" i="53"/>
  <c r="T20" i="53"/>
  <c r="S16" i="53"/>
  <c r="T16" i="53"/>
  <c r="C16" i="53" s="1"/>
  <c r="S11" i="53"/>
  <c r="T11" i="53"/>
  <c r="C11" i="53" s="1"/>
  <c r="S14" i="53"/>
  <c r="T14" i="53"/>
  <c r="S13" i="53"/>
  <c r="T13" i="53"/>
  <c r="K7" i="53"/>
  <c r="S7" i="53"/>
  <c r="K10" i="53"/>
  <c r="J10" i="53"/>
  <c r="I10" i="53"/>
  <c r="K12" i="53"/>
  <c r="J12" i="53"/>
  <c r="I12" i="53"/>
  <c r="H10" i="53"/>
  <c r="H12" i="53"/>
  <c r="H7" i="53"/>
  <c r="J7" i="53"/>
  <c r="I7" i="53"/>
  <c r="G11" i="53"/>
  <c r="G27" i="53"/>
  <c r="J14" i="53"/>
  <c r="I14" i="53"/>
  <c r="K14" i="53"/>
  <c r="H14" i="53"/>
  <c r="G14" i="53"/>
  <c r="H13" i="53"/>
  <c r="I13" i="53"/>
  <c r="G13" i="53"/>
  <c r="K13" i="53"/>
  <c r="J13" i="53"/>
  <c r="G20" i="53"/>
  <c r="K20" i="53"/>
  <c r="J20" i="53"/>
  <c r="I20" i="53"/>
  <c r="H20" i="53"/>
  <c r="H21" i="53"/>
  <c r="G21" i="53"/>
  <c r="K21" i="53"/>
  <c r="I21" i="53"/>
  <c r="J21" i="53"/>
  <c r="J16" i="53"/>
  <c r="G16" i="53"/>
  <c r="K16" i="53"/>
  <c r="I16" i="53"/>
  <c r="H16" i="53"/>
  <c r="H17" i="53"/>
  <c r="G17" i="53"/>
  <c r="I17" i="53"/>
  <c r="K17" i="53"/>
  <c r="J17" i="53"/>
  <c r="J22" i="53"/>
  <c r="I22" i="53"/>
  <c r="K22" i="53"/>
  <c r="H22" i="53"/>
  <c r="G22" i="53"/>
  <c r="V7" i="53"/>
  <c r="E21" i="53"/>
  <c r="E17" i="53"/>
  <c r="E16" i="53"/>
  <c r="E22" i="53"/>
  <c r="E11" i="53"/>
  <c r="E14" i="53"/>
  <c r="U7" i="53"/>
  <c r="D7" i="53" s="1"/>
  <c r="E27" i="53"/>
  <c r="E13" i="53"/>
  <c r="E20" i="53"/>
  <c r="C22" i="53"/>
  <c r="V22" i="53"/>
  <c r="U22" i="53"/>
  <c r="D22" i="53" s="1"/>
  <c r="R22" i="53"/>
  <c r="X22" i="53"/>
  <c r="W22" i="53"/>
  <c r="L22" i="53"/>
  <c r="U20" i="53"/>
  <c r="D20" i="53" s="1"/>
  <c r="W20" i="53"/>
  <c r="X20" i="53"/>
  <c r="L20" i="53"/>
  <c r="V20" i="53"/>
  <c r="R20" i="53"/>
  <c r="C20" i="53"/>
  <c r="W7" i="53"/>
  <c r="E7" i="53"/>
  <c r="R7" i="53"/>
  <c r="X7" i="53"/>
  <c r="L7" i="53"/>
  <c r="X14" i="53"/>
  <c r="W14" i="53"/>
  <c r="C14" i="53"/>
  <c r="V14" i="53"/>
  <c r="R14" i="53"/>
  <c r="U14" i="53"/>
  <c r="D14" i="53" s="1"/>
  <c r="L14" i="53"/>
  <c r="C50" i="61"/>
  <c r="AD28" i="53" s="1"/>
  <c r="AD8" i="53"/>
  <c r="C51" i="61"/>
  <c r="AD9" i="53"/>
  <c r="E50" i="61"/>
  <c r="AF28" i="53" s="1"/>
  <c r="AF8" i="53"/>
  <c r="U27" i="53"/>
  <c r="X27" i="53"/>
  <c r="L27" i="53"/>
  <c r="V27" i="53"/>
  <c r="W27" i="53"/>
  <c r="R27" i="53"/>
  <c r="L13" i="53"/>
  <c r="V13" i="53"/>
  <c r="X13" i="53"/>
  <c r="C13" i="53"/>
  <c r="W13" i="53"/>
  <c r="R13" i="53"/>
  <c r="U13" i="53"/>
  <c r="D13" i="53" s="1"/>
  <c r="R11" i="53"/>
  <c r="X11" i="53"/>
  <c r="W11" i="53"/>
  <c r="V11" i="53"/>
  <c r="L11" i="53"/>
  <c r="X21" i="53"/>
  <c r="W21" i="53"/>
  <c r="V21" i="53"/>
  <c r="L21" i="53"/>
  <c r="U21" i="53"/>
  <c r="D21" i="53" s="1"/>
  <c r="R21" i="53"/>
  <c r="C21" i="53"/>
  <c r="U16" i="53"/>
  <c r="D16" i="53" s="1"/>
  <c r="V16" i="53"/>
  <c r="L16" i="53"/>
  <c r="R16" i="53"/>
  <c r="X16" i="53"/>
  <c r="W16" i="53"/>
  <c r="C53" i="61"/>
  <c r="AD11" i="53"/>
  <c r="J11" i="53" s="1"/>
  <c r="U17" i="53"/>
  <c r="D17" i="53" s="1"/>
  <c r="X17" i="53"/>
  <c r="L17" i="53"/>
  <c r="W17" i="53"/>
  <c r="R17" i="53"/>
  <c r="V17" i="53"/>
  <c r="C17" i="53"/>
  <c r="D50" i="61"/>
  <c r="AE28" i="53" s="1"/>
  <c r="AE8" i="53"/>
  <c r="T8" i="53" s="1"/>
  <c r="D63" i="61"/>
  <c r="E63" i="61"/>
  <c r="D64" i="61"/>
  <c r="E64" i="61"/>
  <c r="D56" i="61"/>
  <c r="E59" i="61"/>
  <c r="D55" i="61"/>
  <c r="D58" i="61"/>
  <c r="D53" i="61"/>
  <c r="D62" i="61"/>
  <c r="E56" i="61"/>
  <c r="AF34" i="53" s="1"/>
  <c r="E62" i="61"/>
  <c r="E58" i="61"/>
  <c r="D59" i="61"/>
  <c r="C20" i="61"/>
  <c r="D4" i="61"/>
  <c r="D13" i="61" s="1"/>
  <c r="S28" i="53" l="1"/>
  <c r="T28" i="53"/>
  <c r="L8" i="53"/>
  <c r="S8" i="53"/>
  <c r="AJ10" i="53"/>
  <c r="AI10" i="53" s="1"/>
  <c r="H27" i="53"/>
  <c r="I32" i="53"/>
  <c r="I30" i="53"/>
  <c r="H30" i="53"/>
  <c r="J32" i="53"/>
  <c r="K30" i="53"/>
  <c r="K32" i="53"/>
  <c r="J30" i="53"/>
  <c r="H32" i="53"/>
  <c r="K11" i="53"/>
  <c r="J27" i="53"/>
  <c r="I27" i="53"/>
  <c r="K27" i="53"/>
  <c r="AJ13" i="53"/>
  <c r="AI13" i="53" s="1"/>
  <c r="AJ14" i="53"/>
  <c r="J8" i="53"/>
  <c r="K8" i="53"/>
  <c r="I8" i="53"/>
  <c r="G8" i="53"/>
  <c r="H8" i="53"/>
  <c r="K9" i="53"/>
  <c r="I9" i="53"/>
  <c r="H9" i="53"/>
  <c r="H11" i="53"/>
  <c r="AJ11" i="53" s="1"/>
  <c r="G28" i="53"/>
  <c r="K28" i="53"/>
  <c r="J28" i="53"/>
  <c r="I28" i="53"/>
  <c r="H28" i="53"/>
  <c r="I11" i="53"/>
  <c r="AJ20" i="53"/>
  <c r="AI20" i="53" s="1"/>
  <c r="AJ17" i="53"/>
  <c r="AI17" i="53" s="1"/>
  <c r="AJ22" i="53"/>
  <c r="AI22" i="53" s="1"/>
  <c r="AJ7" i="53"/>
  <c r="AJ16" i="53"/>
  <c r="AJ12" i="53"/>
  <c r="AI12" i="53" s="1"/>
  <c r="AJ21" i="53"/>
  <c r="AI21" i="53" s="1"/>
  <c r="AI14" i="53"/>
  <c r="E8" i="53"/>
  <c r="E28" i="53"/>
  <c r="C27" i="53"/>
  <c r="D27" i="53"/>
  <c r="AD31" i="53"/>
  <c r="AD29" i="53"/>
  <c r="U11" i="53"/>
  <c r="D11" i="53" s="1"/>
  <c r="U8" i="53"/>
  <c r="D8" i="53" s="1"/>
  <c r="X8" i="53"/>
  <c r="V8" i="53"/>
  <c r="W8" i="53"/>
  <c r="C8" i="53"/>
  <c r="R8" i="53"/>
  <c r="U9" i="53"/>
  <c r="D9" i="53" s="1"/>
  <c r="V28" i="53"/>
  <c r="R28" i="53"/>
  <c r="X28" i="53"/>
  <c r="W28" i="53"/>
  <c r="U28" i="53"/>
  <c r="AE31" i="53"/>
  <c r="AF42" i="53"/>
  <c r="AF36" i="53"/>
  <c r="AE36" i="53"/>
  <c r="L28" i="53"/>
  <c r="AE42" i="53"/>
  <c r="AF40" i="53"/>
  <c r="AE33" i="53"/>
  <c r="AF37" i="53"/>
  <c r="AF41" i="53"/>
  <c r="AE40" i="53"/>
  <c r="AE34" i="53"/>
  <c r="AE41" i="53"/>
  <c r="AE37" i="53"/>
  <c r="D20" i="61"/>
  <c r="D19" i="61"/>
  <c r="D18" i="61"/>
  <c r="D16" i="61"/>
  <c r="D17" i="61"/>
  <c r="S34" i="53" l="1"/>
  <c r="T34" i="53"/>
  <c r="S31" i="53"/>
  <c r="T31" i="53"/>
  <c r="S37" i="53"/>
  <c r="T37" i="53"/>
  <c r="S42" i="53"/>
  <c r="T42" i="53"/>
  <c r="S33" i="53"/>
  <c r="T33" i="53"/>
  <c r="S41" i="53"/>
  <c r="T41" i="53"/>
  <c r="S36" i="53"/>
  <c r="T36" i="53"/>
  <c r="S40" i="53"/>
  <c r="T40" i="53"/>
  <c r="AI16" i="53"/>
  <c r="AI7" i="53"/>
  <c r="AJ27" i="53"/>
  <c r="AI27" i="53" s="1"/>
  <c r="AJ8" i="53"/>
  <c r="AI8" i="53" s="1"/>
  <c r="AI11" i="53"/>
  <c r="H37" i="53"/>
  <c r="K37" i="53"/>
  <c r="J37" i="53"/>
  <c r="I37" i="53"/>
  <c r="G37" i="53"/>
  <c r="J34" i="53"/>
  <c r="G34" i="53"/>
  <c r="I34" i="53"/>
  <c r="H34" i="53"/>
  <c r="K34" i="53"/>
  <c r="J40" i="53"/>
  <c r="I40" i="53"/>
  <c r="G40" i="53"/>
  <c r="K40" i="53"/>
  <c r="H40" i="53"/>
  <c r="H31" i="53"/>
  <c r="K31" i="53"/>
  <c r="G31" i="53"/>
  <c r="I31" i="53"/>
  <c r="J31" i="53"/>
  <c r="G36" i="53"/>
  <c r="J36" i="53"/>
  <c r="I36" i="53"/>
  <c r="K36" i="53"/>
  <c r="H36" i="53"/>
  <c r="H41" i="53"/>
  <c r="G41" i="53"/>
  <c r="K41" i="53"/>
  <c r="J41" i="53"/>
  <c r="I41" i="53"/>
  <c r="H33" i="53"/>
  <c r="G33" i="53"/>
  <c r="K33" i="53"/>
  <c r="J33" i="53"/>
  <c r="I33" i="53"/>
  <c r="J42" i="53"/>
  <c r="G42" i="53"/>
  <c r="I42" i="53"/>
  <c r="H42" i="53"/>
  <c r="K42" i="53"/>
  <c r="U29" i="53"/>
  <c r="H29" i="53"/>
  <c r="K29" i="53"/>
  <c r="J29" i="53"/>
  <c r="I29" i="53"/>
  <c r="AJ32" i="53"/>
  <c r="AI32" i="53" s="1"/>
  <c r="AJ30" i="53"/>
  <c r="AI30" i="53" s="1"/>
  <c r="AJ28" i="53"/>
  <c r="AI28" i="53" s="1"/>
  <c r="AJ9" i="53"/>
  <c r="AI9" i="53" s="1"/>
  <c r="E42" i="53"/>
  <c r="E36" i="53"/>
  <c r="E37" i="53"/>
  <c r="E41" i="53"/>
  <c r="E33" i="53"/>
  <c r="E31" i="53"/>
  <c r="E34" i="53"/>
  <c r="E40" i="53"/>
  <c r="D28" i="53"/>
  <c r="C28" i="53"/>
  <c r="R31" i="53"/>
  <c r="X31" i="53"/>
  <c r="W31" i="53"/>
  <c r="U31" i="53"/>
  <c r="V31" i="53"/>
  <c r="X36" i="53"/>
  <c r="W36" i="53"/>
  <c r="R36" i="53"/>
  <c r="V36" i="53"/>
  <c r="U36" i="53"/>
  <c r="X37" i="53"/>
  <c r="W37" i="53"/>
  <c r="V37" i="53"/>
  <c r="R37" i="53"/>
  <c r="U37" i="53"/>
  <c r="U41" i="53"/>
  <c r="W41" i="53"/>
  <c r="X41" i="53"/>
  <c r="R41" i="53"/>
  <c r="V41" i="53"/>
  <c r="R33" i="53"/>
  <c r="U33" i="53"/>
  <c r="W33" i="53"/>
  <c r="X33" i="53"/>
  <c r="V33" i="53"/>
  <c r="U42" i="53"/>
  <c r="X42" i="53"/>
  <c r="W42" i="53"/>
  <c r="V42" i="53"/>
  <c r="R42" i="53"/>
  <c r="U34" i="53"/>
  <c r="X34" i="53"/>
  <c r="W34" i="53"/>
  <c r="V34" i="53"/>
  <c r="R34" i="53"/>
  <c r="W40" i="53"/>
  <c r="R40" i="53"/>
  <c r="V40" i="53"/>
  <c r="U40" i="53"/>
  <c r="D40" i="53" s="1"/>
  <c r="C40" i="53"/>
  <c r="X40" i="53"/>
  <c r="L36" i="53"/>
  <c r="L41" i="53"/>
  <c r="L34" i="53"/>
  <c r="L33" i="53"/>
  <c r="L37" i="53"/>
  <c r="L42" i="53"/>
  <c r="L40" i="53"/>
  <c r="L31" i="53"/>
  <c r="H47" i="53" l="1"/>
  <c r="AJ29" i="53"/>
  <c r="AI29" i="53" s="1"/>
  <c r="AJ42" i="53"/>
  <c r="AI42" i="53" s="1"/>
  <c r="D29" i="53"/>
  <c r="AJ37" i="53"/>
  <c r="AI37" i="53" s="1"/>
  <c r="AJ31" i="53"/>
  <c r="AI31" i="53" s="1"/>
  <c r="AJ36" i="53"/>
  <c r="AI36" i="53" s="1"/>
  <c r="AJ41" i="53"/>
  <c r="AI41" i="53" s="1"/>
  <c r="AJ34" i="53"/>
  <c r="AI34" i="53" s="1"/>
  <c r="AJ40" i="53"/>
  <c r="AI40" i="53" s="1"/>
  <c r="AJ33" i="53"/>
  <c r="AI33" i="53" s="1"/>
  <c r="C31" i="53"/>
  <c r="D37" i="53"/>
  <c r="C41" i="53"/>
  <c r="C37" i="53"/>
  <c r="D41" i="53"/>
  <c r="D42" i="53"/>
  <c r="D31" i="53"/>
  <c r="C42" i="53"/>
  <c r="D34" i="53"/>
  <c r="D36" i="53"/>
  <c r="C34" i="53"/>
  <c r="C36" i="53"/>
  <c r="C33" i="53"/>
  <c r="D33" i="53"/>
  <c r="AI47" i="53" l="1"/>
  <c r="AJ47" i="53"/>
  <c r="D14" i="61" l="1"/>
  <c r="D21" i="61" s="1"/>
  <c r="C15" i="61"/>
  <c r="D15" i="61" s="1"/>
  <c r="D22" i="61" l="1"/>
  <c r="C21" i="61" l="1"/>
  <c r="C22" i="61"/>
  <c r="I91" i="61" l="1"/>
  <c r="F6" i="79"/>
  <c r="AD6" i="79" s="1"/>
  <c r="F9" i="79" s="1"/>
  <c r="F10" i="79" s="1"/>
  <c r="F7" i="79" s="1"/>
  <c r="AF19" i="53"/>
  <c r="E19" i="53" s="1"/>
  <c r="I92" i="61" l="1"/>
  <c r="I95" i="61"/>
  <c r="G91" i="61"/>
  <c r="G6" i="79" s="1"/>
  <c r="AC6" i="79" s="1"/>
  <c r="AF44" i="53"/>
  <c r="E44" i="53" s="1"/>
  <c r="AF24" i="53"/>
  <c r="E24" i="53" s="1"/>
  <c r="I94" i="61"/>
  <c r="E61" i="61"/>
  <c r="I97" i="61" l="1"/>
  <c r="AD10" i="79"/>
  <c r="G95" i="61"/>
  <c r="G10" i="79" s="1"/>
  <c r="AD9" i="79"/>
  <c r="G94" i="61"/>
  <c r="G9" i="79" s="1"/>
  <c r="AD7" i="79"/>
  <c r="G7" i="79"/>
  <c r="AF39" i="53"/>
  <c r="E39" i="53" s="1"/>
  <c r="AC7" i="79" l="1"/>
  <c r="AC10" i="79"/>
  <c r="AC9" i="79"/>
  <c r="D4" i="49" l="1"/>
  <c r="C4" i="49"/>
  <c r="G4" i="49"/>
  <c r="E4" i="49"/>
  <c r="H4" i="49"/>
  <c r="F4" i="49"/>
  <c r="C13" i="11"/>
  <c r="C6" i="11"/>
  <c r="D3" i="49" l="1"/>
  <c r="C3" i="49"/>
  <c r="G3" i="49"/>
  <c r="E3" i="49"/>
  <c r="H3" i="49"/>
  <c r="F3" i="49"/>
  <c r="B5" i="62" l="1"/>
  <c r="B3" i="62"/>
  <c r="B6" i="49"/>
  <c r="C16" i="49" s="1"/>
  <c r="M107" i="61" l="1"/>
  <c r="M108" i="61" s="1"/>
  <c r="F13" i="11" l="1"/>
  <c r="F6" i="11"/>
  <c r="E28" i="11" l="1"/>
  <c r="G12" i="11"/>
  <c r="G6" i="11"/>
  <c r="G11" i="11"/>
  <c r="G8" i="11"/>
  <c r="G9" i="11"/>
  <c r="G10" i="11"/>
  <c r="G7" i="11"/>
  <c r="E29" i="11"/>
  <c r="G18" i="11"/>
  <c r="G14" i="11"/>
  <c r="G13" i="11"/>
  <c r="G15" i="11"/>
  <c r="G17" i="11"/>
  <c r="G16" i="11"/>
  <c r="B13" i="11" l="1"/>
  <c r="E13" i="11"/>
  <c r="E6" i="11"/>
  <c r="B6" i="11" l="1"/>
  <c r="F11" i="79" l="1"/>
  <c r="F13" i="79" s="1"/>
  <c r="J97" i="61"/>
  <c r="AD11" i="79" l="1"/>
  <c r="G19" i="11" s="1"/>
  <c r="AC11" i="79" l="1"/>
  <c r="AC13" i="79" s="1"/>
  <c r="AD13" i="7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B56" authorId="0" shapeId="0" xr:uid="{3E3AFD72-CDB9-44D1-9E18-397CE86F3879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Mantzos, Leonidas; Matei, Nicoleta Anca; Mulholland, Eamonn; Rózsai, Máté; Tamba, Marie; Wiesenthal, Tobias (2018):  JRC-IDEES 2015. European Commission, Joint Research Centre (JRC) [Dataset] PID: http://data.europa.eu/89h/jrc-10110-10001 </t>
        </r>
      </text>
    </comment>
    <comment ref="B57" authorId="0" shapeId="0" xr:uid="{6011D207-2BD3-4BA6-A254-1985F79CA8F1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Mantzos, Leonidas; Matei, Nicoleta Anca; Mulholland, Eamonn; Rózsai, Máté; Tamba, Marie; Wiesenthal, Tobias (2018):  JRC-IDEES 2015. European Commission, Joint Research Centre (JRC) [Dataset] PID: http://data.europa.eu/89h/jrc-10110-10001 </t>
        </r>
      </text>
    </comment>
    <comment ref="B58" authorId="0" shapeId="0" xr:uid="{1E148401-A7CF-4E19-8E56-B6ADFFF1F33D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BPIE (2011), Europe's building under the microscope</t>
        </r>
      </text>
    </comment>
    <comment ref="B59" authorId="0" shapeId="0" xr:uid="{0B790485-512A-4A7F-91A2-1A4F4CBC4B9C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Mantzos, Leonidas; Matei, Nicoleta Anca; Mulholland, Eamonn; Rózsai, Máté; Tamba, Marie; Wiesenthal, Tobias (2018):  JRC-IDEES 2015. European Commission, Joint Research Centre (JRC) [Dataset] PID: http://data.europa.eu/89h/jrc-10110-10001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D11" authorId="0" shapeId="0" xr:uid="{BB1416C7-D125-4D29-B005-C0069EBEA072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Includes all Solids</t>
        </r>
      </text>
    </comment>
    <comment ref="F11" authorId="0" shapeId="0" xr:uid="{1A65694D-0168-4571-90E8-97A3443A9310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 xml:space="preserve">Inlcudes all (fossil) liquids
</t>
        </r>
      </text>
    </comment>
    <comment ref="F23" authorId="0" shapeId="0" xr:uid="{21932F6E-DF49-4469-B7EE-B757924037DF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Shares calculated from the JRC-IDEES database for the year 2015. Same shares are assumed between Public services and Commercial services</t>
        </r>
      </text>
    </comment>
    <comment ref="F25" authorId="0" shapeId="0" xr:uid="{78036105-932D-41AB-BED0-0408A37D075C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JRC-IDEES report zero consumption of solids in services. 100% is assumed here to close the balance</t>
        </r>
      </text>
    </comment>
    <comment ref="F30" authorId="0" shapeId="0" xr:uid="{65A19CB3-CCD1-44CF-AA00-E974D937C27E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IDEES reports biogas within Natural Gas. Assumed 100% in space heating
</t>
        </r>
      </text>
    </comment>
    <comment ref="F34" authorId="0" shapeId="0" xr:uid="{842F5D1F-B5C3-41E7-97E0-CED268355278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Ambient heat is currently reported only for Space heating
</t>
        </r>
      </text>
    </comment>
    <comment ref="F41" authorId="0" shapeId="0" xr:uid="{5E7D7CB2-3C91-4739-8EE8-714550574056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IDEES reports biogas within Natural Gas. Assumed 100% in space heating
</t>
        </r>
      </text>
    </comment>
    <comment ref="F61" authorId="0" shapeId="0" xr:uid="{F6878CFB-7971-4DBA-B8B7-E1F081BE1B3C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Shares calculated from the JRC-IDEES database for the year 2015. Street lighting is applies to Public Services only</t>
        </r>
      </text>
    </comment>
    <comment ref="F62" authorId="0" shapeId="0" xr:uid="{E2895B55-0B27-4092-A3B3-EDBB06CF29EE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Shares calculated from the JRC-IDEES database for the year 2015. Same shares are assumed between Public services and Commercial services</t>
        </r>
      </text>
    </comment>
    <comment ref="F64" authorId="0" shapeId="0" xr:uid="{74D0DE16-A00E-489C-B2A6-665DE862EEE5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JRC-IDEES report zero consumption of solids in services. 100% is assumed here to close the balance</t>
        </r>
      </text>
    </comment>
    <comment ref="F69" authorId="0" shapeId="0" xr:uid="{3CC8555B-4D28-496A-88CC-DE222EA49E9F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IDEES reports biogas within Natural Gas. Assumed 100% in space heating
</t>
        </r>
      </text>
    </comment>
    <comment ref="F73" authorId="0" shapeId="0" xr:uid="{B95D4570-EEC4-4D71-B691-5A5416436B85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Ambient heat is currently reported only for Space heating
</t>
        </r>
      </text>
    </comment>
    <comment ref="F80" authorId="0" shapeId="0" xr:uid="{4F00642D-6CA3-4A78-ACA0-084C81382364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IDEES reports biogas within Natural Gas. Assumed 100% in space heating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E4SMA-7</author>
    <author>Alessandro Chiodi</author>
    <author>tc={18DD4B92-6E3F-4968-B5AC-2C31F699EE36}</author>
    <author>Maurizio Gargiulo</author>
  </authors>
  <commentList>
    <comment ref="B5" authorId="0" shapeId="0" xr:uid="{3D4310B6-B376-46B4-9EDA-CA564BB4499D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2015 values (latest available data) are used</t>
        </r>
      </text>
    </comment>
    <comment ref="C11" authorId="1" shapeId="0" xr:uid="{9F752C78-6D99-420F-8E4E-3A92A17094EC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BPIE (2011), Europe's building under the microscope</t>
        </r>
      </text>
    </comment>
    <comment ref="G27" authorId="1" shapeId="0" xr:uid="{516656D4-7814-42C3-8DFC-9C33A3A0244B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Own assumption: when JRC-IDEES does not report any efficiency a 33% factor is applied (to 33% value is assumed (to avoid issues with Veda tables)</t>
        </r>
      </text>
    </comment>
    <comment ref="G35" authorId="2" shapeId="0" xr:uid="{18DD4B92-6E3F-4968-B5AC-2C31F699EE36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 to the value from SEAI Heat Study</t>
      </text>
    </comment>
    <comment ref="G73" authorId="1" shapeId="0" xr:uid="{CA937127-C6E7-4564-9EE9-1EB44AC3AB55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Own assumption: when JRC-IDEES does not report any efficiency a 33% factor is applied (to 33% value is assumed (to avoid issues with Veda tables)</t>
        </r>
      </text>
    </comment>
    <comment ref="I91" authorId="1" shapeId="0" xr:uid="{E7863C0A-4C05-4824-9EB7-62AE0B57F4F5}">
      <text>
        <r>
          <rPr>
            <sz val="9"/>
            <color indexed="81"/>
            <rFont val="Tahoma"/>
            <family val="2"/>
          </rPr>
          <t xml:space="preserve">Munits
</t>
        </r>
      </text>
    </comment>
    <comment ref="J91" authorId="1" shapeId="0" xr:uid="{B72DD139-5DC9-4F81-8EFD-43532D3866D3}">
      <text>
        <r>
          <rPr>
            <sz val="9"/>
            <color indexed="81"/>
            <rFont val="Tahoma"/>
            <family val="2"/>
          </rPr>
          <t xml:space="preserve">Munits
</t>
        </r>
      </text>
    </comment>
    <comment ref="I92" authorId="1" shapeId="0" xr:uid="{5A349A2E-0EDE-40C7-9380-0A1A7068F2F9}">
      <text>
        <r>
          <rPr>
            <sz val="9"/>
            <color indexed="81"/>
            <rFont val="Tahoma"/>
            <family val="2"/>
          </rPr>
          <t xml:space="preserve">kunits
</t>
        </r>
      </text>
    </comment>
    <comment ref="J92" authorId="1" shapeId="0" xr:uid="{7BE7BB89-B933-405D-85C7-8CC0748C8FEC}">
      <text>
        <r>
          <rPr>
            <sz val="9"/>
            <color indexed="81"/>
            <rFont val="Tahoma"/>
            <family val="2"/>
          </rPr>
          <t xml:space="preserve">kunits
</t>
        </r>
      </text>
    </comment>
    <comment ref="I93" authorId="1" shapeId="0" xr:uid="{711C3AF5-7D3B-438A-9A46-23C47595F245}">
      <text>
        <r>
          <rPr>
            <sz val="9"/>
            <color indexed="81"/>
            <rFont val="Tahoma"/>
            <family val="2"/>
          </rPr>
          <t>PJ</t>
        </r>
      </text>
    </comment>
    <comment ref="J93" authorId="1" shapeId="0" xr:uid="{3619B5CC-EF47-4BC5-A44F-E3EE9FF7BAF5}">
      <text>
        <r>
          <rPr>
            <sz val="9"/>
            <color indexed="81"/>
            <rFont val="Tahoma"/>
            <family val="2"/>
          </rPr>
          <t>GW</t>
        </r>
      </text>
    </comment>
    <comment ref="I94" authorId="1" shapeId="0" xr:uid="{C1B7C8A7-A251-4728-9454-22DA8F34D07C}">
      <text>
        <r>
          <rPr>
            <sz val="9"/>
            <color indexed="81"/>
            <rFont val="Tahoma"/>
            <family val="2"/>
          </rPr>
          <t xml:space="preserve">Munits
</t>
        </r>
      </text>
    </comment>
    <comment ref="J94" authorId="1" shapeId="0" xr:uid="{001344D5-9137-4FD8-89EF-413B8F6FFE95}">
      <text>
        <r>
          <rPr>
            <sz val="9"/>
            <color indexed="81"/>
            <rFont val="Tahoma"/>
            <family val="2"/>
          </rPr>
          <t xml:space="preserve">Munits
</t>
        </r>
      </text>
    </comment>
    <comment ref="I95" authorId="1" shapeId="0" xr:uid="{BFC8C598-FC69-42D8-8720-B8CE8CBF6A5E}">
      <text>
        <r>
          <rPr>
            <sz val="9"/>
            <color indexed="81"/>
            <rFont val="Tahoma"/>
            <family val="2"/>
          </rPr>
          <t xml:space="preserve">kunits
</t>
        </r>
      </text>
    </comment>
    <comment ref="J95" authorId="1" shapeId="0" xr:uid="{0312F933-7A79-41FA-9405-6C89751C646D}">
      <text>
        <r>
          <rPr>
            <sz val="9"/>
            <color indexed="81"/>
            <rFont val="Tahoma"/>
            <family val="2"/>
          </rPr>
          <t xml:space="preserve">kunits
</t>
        </r>
      </text>
    </comment>
    <comment ref="I96" authorId="1" shapeId="0" xr:uid="{D9AFF6AD-BB31-4635-BE15-81FCB0D9A0B7}">
      <text>
        <r>
          <rPr>
            <sz val="9"/>
            <color indexed="81"/>
            <rFont val="Tahoma"/>
            <family val="2"/>
          </rPr>
          <t>PJ</t>
        </r>
      </text>
    </comment>
    <comment ref="J96" authorId="1" shapeId="0" xr:uid="{5261E0E0-08E1-4280-99C8-0535884CA4BC}">
      <text>
        <r>
          <rPr>
            <sz val="9"/>
            <color indexed="81"/>
            <rFont val="Tahoma"/>
            <family val="2"/>
          </rPr>
          <t>GW</t>
        </r>
      </text>
    </comment>
    <comment ref="G101" authorId="1" shapeId="0" xr:uid="{6721216A-EAC7-44ED-BC20-97A178587B3E}">
      <text>
        <r>
          <rPr>
            <sz val="9"/>
            <color indexed="81"/>
            <rFont val="Tahoma"/>
            <family val="2"/>
          </rPr>
          <t>URL: https://www.energia.ie/news/2019/april-2019/energia-powers-approx-480,000-street-lights-acros#:~:text=480%2C000%20street%20lights%20across%20Ireland,-April%2011%202019</t>
        </r>
      </text>
    </comment>
    <comment ref="H101" authorId="0" shapeId="0" xr:uid="{534005E7-11C2-44C3-B0BB-DB5193435BF2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To be manually calibrated to match the total expected consumption</t>
        </r>
      </text>
    </comment>
    <comment ref="J101" authorId="3" shapeId="0" xr:uid="{C0A20DAD-6755-4A1A-8495-557BAABA527E}">
      <text>
        <r>
          <rPr>
            <sz val="9"/>
            <color indexed="81"/>
            <rFont val="Tahoma"/>
            <family val="2"/>
          </rPr>
          <t>Assumption: 10 hours/day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Alessandro Chiodi</author>
  </authors>
  <commentList>
    <comment ref="N4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T4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4" authorId="0" shapeId="0" xr:uid="{00000000-0006-0000-0300-000003000000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4" authorId="0" shapeId="0" xr:uid="{00000000-0006-0000-03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G7" authorId="1" shapeId="0" xr:uid="{285BE490-F962-4EAF-B9BE-A8394AD2DC6D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Share is assumed to remain fixed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Alessandro Chiodi</author>
  </authors>
  <commentList>
    <comment ref="L4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R4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4" authorId="0" shapeId="0" xr:uid="{00000000-0006-0000-0200-000003000000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4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G6" authorId="1" shapeId="0" xr:uid="{3048E456-BDB2-4FBD-B629-0D8B112CE71B}">
      <text>
        <r>
          <rPr>
            <sz val="9"/>
            <color indexed="81"/>
            <rFont val="Tahoma"/>
            <family val="2"/>
          </rPr>
          <t xml:space="preserve">PJ/Mm2
</t>
        </r>
      </text>
    </comment>
    <comment ref="G7" authorId="1" shapeId="0" xr:uid="{5F354A08-7A0B-41CE-BAF9-86C857B178F0}">
      <text>
        <r>
          <rPr>
            <sz val="9"/>
            <color indexed="81"/>
            <rFont val="Tahoma"/>
            <family val="2"/>
          </rPr>
          <t xml:space="preserve">PJ/Mm2
</t>
        </r>
      </text>
    </comment>
    <comment ref="G8" authorId="1" shapeId="0" xr:uid="{FE9F3C44-D61F-411E-8316-94AE98FDB019}">
      <text>
        <r>
          <rPr>
            <sz val="9"/>
            <color indexed="81"/>
            <rFont val="Tahoma"/>
            <family val="2"/>
          </rPr>
          <t xml:space="preserve">PJ/Mm2
</t>
        </r>
      </text>
    </comment>
    <comment ref="G9" authorId="1" shapeId="0" xr:uid="{09B51146-FAC6-475E-A2EE-18CBA392327B}">
      <text>
        <r>
          <rPr>
            <sz val="9"/>
            <color indexed="81"/>
            <rFont val="Tahoma"/>
            <family val="2"/>
          </rPr>
          <t xml:space="preserve">PJ/Mm2
</t>
        </r>
      </text>
    </comment>
    <comment ref="G10" authorId="1" shapeId="0" xr:uid="{0F8B97C2-3B42-4EBC-82BC-E7D99F0C215A}">
      <text>
        <r>
          <rPr>
            <sz val="9"/>
            <color indexed="81"/>
            <rFont val="Tahoma"/>
            <family val="2"/>
          </rPr>
          <t xml:space="preserve">Munits/Mm2
</t>
        </r>
      </text>
    </comment>
    <comment ref="G11" authorId="1" shapeId="0" xr:uid="{FBC2FF19-F182-4BBE-B201-758583B64B0E}">
      <text>
        <r>
          <rPr>
            <sz val="9"/>
            <color indexed="81"/>
            <rFont val="Tahoma"/>
            <family val="2"/>
          </rPr>
          <t xml:space="preserve">kunits/Mm2
</t>
        </r>
      </text>
    </comment>
    <comment ref="G12" authorId="1" shapeId="0" xr:uid="{46C16D1F-F0C7-4776-AE00-F2D4758620D1}">
      <text>
        <r>
          <rPr>
            <sz val="9"/>
            <color indexed="81"/>
            <rFont val="Tahoma"/>
            <family val="2"/>
          </rPr>
          <t xml:space="preserve">PJ/Mm2
</t>
        </r>
      </text>
    </comment>
    <comment ref="G13" authorId="1" shapeId="0" xr:uid="{B1CA3999-6F0D-4B8A-915F-5EE4C0B7B2B2}">
      <text>
        <r>
          <rPr>
            <sz val="9"/>
            <color indexed="81"/>
            <rFont val="Tahoma"/>
            <family val="2"/>
          </rPr>
          <t xml:space="preserve">PJ/Mm2
</t>
        </r>
      </text>
    </comment>
    <comment ref="G14" authorId="1" shapeId="0" xr:uid="{A388EC8E-A783-49FC-B294-06AB3F7D88D9}">
      <text>
        <r>
          <rPr>
            <sz val="9"/>
            <color indexed="81"/>
            <rFont val="Tahoma"/>
            <family val="2"/>
          </rPr>
          <t xml:space="preserve">PJ/Mm2
</t>
        </r>
      </text>
    </comment>
    <comment ref="G15" authorId="1" shapeId="0" xr:uid="{CFE7B9A4-2848-4BB0-9EA2-D5D4297CFCAF}">
      <text>
        <r>
          <rPr>
            <sz val="9"/>
            <color indexed="81"/>
            <rFont val="Tahoma"/>
            <family val="2"/>
          </rPr>
          <t xml:space="preserve">PJ/Mm2
</t>
        </r>
      </text>
    </comment>
    <comment ref="G16" authorId="1" shapeId="0" xr:uid="{6582754F-57AF-44B2-A060-545F73BD34FB}">
      <text>
        <r>
          <rPr>
            <sz val="9"/>
            <color indexed="81"/>
            <rFont val="Tahoma"/>
            <family val="2"/>
          </rPr>
          <t xml:space="preserve">PJ/Mm2
</t>
        </r>
      </text>
    </comment>
    <comment ref="G17" authorId="1" shapeId="0" xr:uid="{C7569691-D84D-4C46-9681-09B36D9E0303}">
      <text>
        <r>
          <rPr>
            <sz val="9"/>
            <color indexed="81"/>
            <rFont val="Tahoma"/>
            <family val="2"/>
          </rPr>
          <t xml:space="preserve">Munits/Mm2
</t>
        </r>
      </text>
    </comment>
    <comment ref="G18" authorId="1" shapeId="0" xr:uid="{763CC182-FB8B-4544-9DF1-C0F5473487A3}">
      <text>
        <r>
          <rPr>
            <sz val="9"/>
            <color indexed="81"/>
            <rFont val="Tahoma"/>
            <family val="2"/>
          </rPr>
          <t xml:space="preserve">kunits/Mm2
</t>
        </r>
      </text>
    </comment>
    <comment ref="G19" authorId="1" shapeId="0" xr:uid="{D12F79B7-A74D-4DCC-891C-93C0B9BC6369}">
      <text>
        <r>
          <rPr>
            <sz val="9"/>
            <color indexed="81"/>
            <rFont val="Tahoma"/>
            <family val="2"/>
          </rPr>
          <t xml:space="preserve">PJ/Mm2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Author</author>
  </authors>
  <commentList>
    <comment ref="L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Conversion factor</t>
        </r>
      </text>
    </comment>
    <comment ref="R4" authorId="1" shapeId="0" xr:uid="{1DCD6C06-2F35-4936-B4C8-D48E379328DF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X4" authorId="1" shapeId="0" xr:uid="{80AE7A5F-A131-426F-ABF2-26A79B3D91A9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Y4" authorId="1" shapeId="0" xr:uid="{6FBAC6A0-AD80-4376-935F-01438A5C5564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Z4" authorId="1" shapeId="0" xr:uid="{34647E3D-D6E4-46BA-9ABA-F5B634345FF1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Author</author>
  </authors>
  <commentList>
    <comment ref="J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Conversion factor</t>
        </r>
      </text>
    </comment>
    <comment ref="L4" authorId="1" shapeId="0" xr:uid="{EE14B62F-63D5-45E9-8332-4B9FCA8ABEAD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R4" authorId="1" shapeId="0" xr:uid="{0F7D98C7-9D89-4ABF-A9F9-5E79E07547BF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4" authorId="1" shapeId="0" xr:uid="{E95416B3-0E46-452C-8564-3ACCF49A21F2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4" authorId="1" shapeId="0" xr:uid="{D53D3ACA-7A30-4002-8FA6-0C5515653FDE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Author</author>
  </authors>
  <commentList>
    <comment ref="J4" authorId="0" shapeId="0" xr:uid="{ED7CEACF-E9F6-4098-9AB6-EB502D1E25F1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Conversion factor</t>
        </r>
      </text>
    </comment>
    <comment ref="L4" authorId="1" shapeId="0" xr:uid="{A7A337AD-2D23-451B-9DC3-2585F246FA5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R4" authorId="1" shapeId="0" xr:uid="{0D290643-02DF-4070-809B-40C785B3A85E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4" authorId="1" shapeId="0" xr:uid="{6F11DC1F-5B1E-4589-B0E8-3D857A200919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4" authorId="1" shapeId="0" xr:uid="{B46FDAF4-8662-4282-81FE-F0403DC14D2D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F6" authorId="0" shapeId="0" xr:uid="{93A7F3A3-6D8C-4292-A4AE-86CD3E270081}">
      <text>
        <r>
          <rPr>
            <sz val="9"/>
            <color indexed="81"/>
            <rFont val="Tahoma"/>
            <family val="2"/>
          </rPr>
          <t xml:space="preserve">Munits
</t>
        </r>
      </text>
    </comment>
    <comment ref="AD6" authorId="0" shapeId="0" xr:uid="{434657A7-CF58-42DF-9D8C-F719020BB4E7}">
      <text>
        <r>
          <rPr>
            <sz val="9"/>
            <color indexed="81"/>
            <rFont val="Tahoma"/>
            <family val="2"/>
          </rPr>
          <t xml:space="preserve">Munits
</t>
        </r>
      </text>
    </comment>
    <comment ref="F7" authorId="0" shapeId="0" xr:uid="{2FF131B9-2E01-47B6-B582-A12D3074ED7F}">
      <text>
        <r>
          <rPr>
            <sz val="9"/>
            <color indexed="81"/>
            <rFont val="Tahoma"/>
            <family val="2"/>
          </rPr>
          <t xml:space="preserve">kunits
</t>
        </r>
      </text>
    </comment>
    <comment ref="AD7" authorId="0" shapeId="0" xr:uid="{F49F55A3-0ADF-4F1F-83F5-7FCC8D83FA36}">
      <text>
        <r>
          <rPr>
            <sz val="9"/>
            <color indexed="81"/>
            <rFont val="Tahoma"/>
            <family val="2"/>
          </rPr>
          <t xml:space="preserve">kunits
</t>
        </r>
      </text>
    </comment>
    <comment ref="F8" authorId="0" shapeId="0" xr:uid="{A4B39CC2-ED3F-4BB0-97B9-641A56E50739}">
      <text>
        <r>
          <rPr>
            <sz val="9"/>
            <color indexed="81"/>
            <rFont val="Tahoma"/>
            <family val="2"/>
          </rPr>
          <t>PJ</t>
        </r>
      </text>
    </comment>
    <comment ref="AD8" authorId="0" shapeId="0" xr:uid="{4E9435BA-F726-4AD2-BE28-D277C7DF855E}">
      <text>
        <r>
          <rPr>
            <sz val="9"/>
            <color indexed="81"/>
            <rFont val="Tahoma"/>
            <family val="2"/>
          </rPr>
          <t>PJ</t>
        </r>
      </text>
    </comment>
    <comment ref="F9" authorId="0" shapeId="0" xr:uid="{F1B4A320-DD2E-4ADA-9C68-29646466B08B}">
      <text>
        <r>
          <rPr>
            <sz val="9"/>
            <color indexed="81"/>
            <rFont val="Tahoma"/>
            <family val="2"/>
          </rPr>
          <t xml:space="preserve">Munits
</t>
        </r>
      </text>
    </comment>
    <comment ref="AD9" authorId="0" shapeId="0" xr:uid="{8757382E-20A7-421A-A7EA-B3141EB06206}">
      <text>
        <r>
          <rPr>
            <sz val="9"/>
            <color indexed="81"/>
            <rFont val="Tahoma"/>
            <family val="2"/>
          </rPr>
          <t xml:space="preserve">Munits
</t>
        </r>
      </text>
    </comment>
    <comment ref="F10" authorId="0" shapeId="0" xr:uid="{24886878-F1BB-42DA-B220-7327531A2A90}">
      <text>
        <r>
          <rPr>
            <sz val="9"/>
            <color indexed="81"/>
            <rFont val="Tahoma"/>
            <family val="2"/>
          </rPr>
          <t xml:space="preserve">kunits
</t>
        </r>
      </text>
    </comment>
    <comment ref="AD10" authorId="0" shapeId="0" xr:uid="{F95A26B2-B117-444D-A141-6DFD0AECB34A}">
      <text>
        <r>
          <rPr>
            <sz val="9"/>
            <color indexed="81"/>
            <rFont val="Tahoma"/>
            <family val="2"/>
          </rPr>
          <t xml:space="preserve">kunits
</t>
        </r>
      </text>
    </comment>
    <comment ref="F11" authorId="0" shapeId="0" xr:uid="{99D6E318-8E3D-41E6-84B6-351022C6105E}">
      <text>
        <r>
          <rPr>
            <sz val="9"/>
            <color indexed="81"/>
            <rFont val="Tahoma"/>
            <family val="2"/>
          </rPr>
          <t>PJ</t>
        </r>
      </text>
    </comment>
    <comment ref="AD11" authorId="0" shapeId="0" xr:uid="{9673CFAA-037D-445F-99E5-887B4E7D052B}">
      <text>
        <r>
          <rPr>
            <sz val="9"/>
            <color indexed="81"/>
            <rFont val="Tahoma"/>
            <family val="2"/>
          </rPr>
          <t>PJ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Author</author>
  </authors>
  <commentList>
    <comment ref="J4" authorId="0" shapeId="0" xr:uid="{22BA2FE7-4F11-40F7-9DD2-B252CE0362FF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Conversion factor</t>
        </r>
      </text>
    </comment>
    <comment ref="L4" authorId="1" shapeId="0" xr:uid="{5708C16C-0399-48A5-A02B-F710C9DEC7E7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R4" authorId="1" shapeId="0" xr:uid="{3423C966-C1EC-40FE-8560-D910CEDB0B59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4" authorId="1" shapeId="0" xr:uid="{76CBA6A5-F968-4B53-93A4-6C9088E5E2F2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4" authorId="1" shapeId="0" xr:uid="{182DF625-0855-42CE-8CE8-C0C9A6ADC6F1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Author</author>
  </authors>
  <commentList>
    <comment ref="J4" authorId="0" shapeId="0" xr:uid="{B1DEFAC8-0942-4C76-B15C-1D4A6BA04D82}">
      <text>
        <r>
          <rPr>
            <b/>
            <sz val="9"/>
            <color indexed="81"/>
            <rFont val="Tahoma"/>
            <family val="2"/>
          </rPr>
          <t xml:space="preserve">E4SMA: </t>
        </r>
        <r>
          <rPr>
            <sz val="9"/>
            <color indexed="81"/>
            <rFont val="Tahoma"/>
            <family val="2"/>
          </rPr>
          <t>Conversion factor</t>
        </r>
      </text>
    </comment>
    <comment ref="L4" authorId="1" shapeId="0" xr:uid="{BF5B6236-0A81-4A60-B2DA-E4089F21239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R4" authorId="1" shapeId="0" xr:uid="{2BFFDC6D-BA9B-4403-8B2C-77D72081F56D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4" authorId="1" shapeId="0" xr:uid="{A2F30D44-34C9-4BA8-B059-88DFE16B2ABA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4" authorId="1" shapeId="0" xr:uid="{51D5BED9-8426-4ADB-9CAF-BECEAFC9116A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<sst xmlns="http://schemas.openxmlformats.org/spreadsheetml/2006/main" count="1386" uniqueCount="628">
  <si>
    <t>Unit</t>
  </si>
  <si>
    <t>Electricity</t>
  </si>
  <si>
    <t>LPG</t>
  </si>
  <si>
    <t>Solids</t>
  </si>
  <si>
    <t>TechName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</si>
  <si>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</si>
  <si>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</si>
  <si>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</si>
  <si>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</si>
  <si>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</si>
  <si>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</si>
  <si>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</si>
  <si>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</si>
  <si>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</si>
  <si>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</si>
  <si>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</si>
  <si>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</si>
  <si>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</si>
  <si>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</si>
  <si>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</si>
  <si>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</si>
  <si>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NRG</t>
  </si>
  <si>
    <t>Comm-IN</t>
  </si>
  <si>
    <t>Comm-OUT</t>
  </si>
  <si>
    <t>PRE</t>
  </si>
  <si>
    <t>~COMEMI</t>
  </si>
  <si>
    <t>ENV</t>
  </si>
  <si>
    <t>DEM</t>
  </si>
  <si>
    <t>DMD</t>
  </si>
  <si>
    <t>Life</t>
  </si>
  <si>
    <t>ANNUAL</t>
  </si>
  <si>
    <t>Others</t>
  </si>
  <si>
    <t>LED</t>
  </si>
  <si>
    <t>Public</t>
  </si>
  <si>
    <t>Codes for processes and commodities names</t>
  </si>
  <si>
    <t>SC</t>
  </si>
  <si>
    <t>Space heating</t>
  </si>
  <si>
    <t>SH</t>
  </si>
  <si>
    <t>Water heating</t>
  </si>
  <si>
    <t>WH</t>
  </si>
  <si>
    <t>OEL</t>
  </si>
  <si>
    <t>Solar</t>
  </si>
  <si>
    <t>Source</t>
  </si>
  <si>
    <t>PU</t>
  </si>
  <si>
    <t>PLIG</t>
  </si>
  <si>
    <t>Public Lighting</t>
  </si>
  <si>
    <t>PJ</t>
  </si>
  <si>
    <t>ELC</t>
  </si>
  <si>
    <t>GAS</t>
  </si>
  <si>
    <t>HET</t>
  </si>
  <si>
    <t>OIL</t>
  </si>
  <si>
    <t>BIO</t>
  </si>
  <si>
    <t>COA</t>
  </si>
  <si>
    <t>SOL</t>
  </si>
  <si>
    <t>ktoe</t>
  </si>
  <si>
    <t>Biodiesel</t>
  </si>
  <si>
    <t>Services</t>
  </si>
  <si>
    <t>Breakdown of floor areas by non-residential sub-sector</t>
  </si>
  <si>
    <t>Wholesale &amp; trade</t>
  </si>
  <si>
    <t>Offices (all)</t>
  </si>
  <si>
    <t>Private offices</t>
  </si>
  <si>
    <t>Public offices</t>
  </si>
  <si>
    <t>Hotel &amp; restaurent</t>
  </si>
  <si>
    <t>Health</t>
  </si>
  <si>
    <t>Education</t>
  </si>
  <si>
    <t>Other</t>
  </si>
  <si>
    <t>Mm2</t>
  </si>
  <si>
    <t>GW</t>
  </si>
  <si>
    <t>Oil</t>
  </si>
  <si>
    <t>OTS</t>
  </si>
  <si>
    <t>hours</t>
  </si>
  <si>
    <t>Sodium vapor lamp</t>
  </si>
  <si>
    <t>Mercury lamps</t>
  </si>
  <si>
    <t>W/lamp</t>
  </si>
  <si>
    <t>Document type:</t>
  </si>
  <si>
    <t>Sector:</t>
  </si>
  <si>
    <t>Base-year</t>
  </si>
  <si>
    <t>Calibration checks</t>
  </si>
  <si>
    <t>Emission coefficients for Non-Residential sector</t>
  </si>
  <si>
    <t>Allocation by system type</t>
  </si>
  <si>
    <t>Fraction of m2</t>
  </si>
  <si>
    <t>Fuel</t>
  </si>
  <si>
    <t>All</t>
  </si>
  <si>
    <t>Consumption</t>
  </si>
  <si>
    <t>Commodities definition</t>
  </si>
  <si>
    <t>Fuel Techs/Distribution Infrastructure</t>
  </si>
  <si>
    <t>~FI_T</t>
  </si>
  <si>
    <t>EFF</t>
  </si>
  <si>
    <t>DAYNITE</t>
  </si>
  <si>
    <t>Description</t>
  </si>
  <si>
    <t>Building stock</t>
  </si>
  <si>
    <t>Characterization of Electric appliances</t>
  </si>
  <si>
    <t>Natural Gas</t>
  </si>
  <si>
    <t>GASNAT</t>
  </si>
  <si>
    <t>OILLPG</t>
  </si>
  <si>
    <t>GW to PJ</t>
  </si>
  <si>
    <t>Years</t>
  </si>
  <si>
    <t>Ragion:</t>
  </si>
  <si>
    <t>Cell colour legend</t>
  </si>
  <si>
    <t>Tab colour legend</t>
  </si>
  <si>
    <t>VEDA-TIMES data input tables</t>
  </si>
  <si>
    <t>Biogas</t>
  </si>
  <si>
    <t>BGS</t>
  </si>
  <si>
    <t>BDL</t>
  </si>
  <si>
    <t>Wind</t>
  </si>
  <si>
    <t>WIN</t>
  </si>
  <si>
    <t>Component</t>
  </si>
  <si>
    <t>Type of data</t>
  </si>
  <si>
    <t>Energy balances</t>
  </si>
  <si>
    <t>Building stocks</t>
  </si>
  <si>
    <t>End-use technologies</t>
  </si>
  <si>
    <t>Stock</t>
  </si>
  <si>
    <t>Emissions factors</t>
  </si>
  <si>
    <t>CO2 emissions factors</t>
  </si>
  <si>
    <t>*Commodity set</t>
  </si>
  <si>
    <t>*Process Set Membership</t>
  </si>
  <si>
    <t>Technology name</t>
  </si>
  <si>
    <t>Activity unit</t>
  </si>
  <si>
    <t>Capacity unit</t>
  </si>
  <si>
    <t>TimeSlice level of Process Activity</t>
  </si>
  <si>
    <t>Primary Commodity Group</t>
  </si>
  <si>
    <t>Vintage Tracking</t>
  </si>
  <si>
    <t>BPIE</t>
  </si>
  <si>
    <t>*TechDesc</t>
  </si>
  <si>
    <t>Cap2Act</t>
  </si>
  <si>
    <t>*Technology name</t>
  </si>
  <si>
    <t>Input commodity</t>
  </si>
  <si>
    <t>Output commodity</t>
  </si>
  <si>
    <t>Availability factor</t>
  </si>
  <si>
    <t>Efficiency</t>
  </si>
  <si>
    <t>Capacity to Activity Factor</t>
  </si>
  <si>
    <t>*Units</t>
  </si>
  <si>
    <t>%</t>
  </si>
  <si>
    <t>Dwelling stocks</t>
  </si>
  <si>
    <t>Fixed availability factor</t>
  </si>
  <si>
    <t>Interpolation rule</t>
  </si>
  <si>
    <t>Technical life</t>
  </si>
  <si>
    <r>
      <t>Mm</t>
    </r>
    <r>
      <rPr>
        <vertAlign val="superscript"/>
        <sz val="10"/>
        <color theme="1"/>
        <rFont val="Calibri"/>
        <family val="2"/>
        <scheme val="minor"/>
      </rPr>
      <t>2</t>
    </r>
  </si>
  <si>
    <t>years</t>
  </si>
  <si>
    <t>Demand</t>
  </si>
  <si>
    <t>Dwelling demand</t>
  </si>
  <si>
    <t>Input</t>
  </si>
  <si>
    <t>AFA</t>
  </si>
  <si>
    <t>Total device stock</t>
  </si>
  <si>
    <t>Number of functioning hours</t>
  </si>
  <si>
    <t>Total</t>
  </si>
  <si>
    <t>Expected consumption</t>
  </si>
  <si>
    <t>Energy Service Demand</t>
  </si>
  <si>
    <t>Mlamps/PJ</t>
  </si>
  <si>
    <t>PJ/Mlamp</t>
  </si>
  <si>
    <t>*Commodity name</t>
  </si>
  <si>
    <t>kt/PJ</t>
  </si>
  <si>
    <t>Source:</t>
  </si>
  <si>
    <t>Residential</t>
  </si>
  <si>
    <t>HETD</t>
  </si>
  <si>
    <t>FX</t>
  </si>
  <si>
    <t>PASTI</t>
  </si>
  <si>
    <t>Total stock</t>
  </si>
  <si>
    <t>Average size</t>
  </si>
  <si>
    <t>Thermal uses</t>
  </si>
  <si>
    <t>Energy service</t>
  </si>
  <si>
    <t>Space cooling</t>
  </si>
  <si>
    <t>Type</t>
  </si>
  <si>
    <t>Building lighting</t>
  </si>
  <si>
    <t>Key input assumptions and elaborations</t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</si>
  <si>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</si>
  <si>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/dwelling</t>
    </r>
  </si>
  <si>
    <t>Conversion factors</t>
  </si>
  <si>
    <t>Conversion ktoe to PJ</t>
  </si>
  <si>
    <t>Fraction of units</t>
  </si>
  <si>
    <t>Electricity (heat pumps)</t>
  </si>
  <si>
    <t>Electricity (heaters)</t>
  </si>
  <si>
    <t>Short name</t>
  </si>
  <si>
    <t>Long name</t>
  </si>
  <si>
    <t>Useful energy</t>
  </si>
  <si>
    <t>kW/unit</t>
  </si>
  <si>
    <t>1) Thermal energy services</t>
  </si>
  <si>
    <t>Specific capacity</t>
  </si>
  <si>
    <t>Specific consumption</t>
  </si>
  <si>
    <t>Mlamps</t>
  </si>
  <si>
    <t>JRC-IDEES</t>
  </si>
  <si>
    <t>Dwelling stocks (m2), average size</t>
  </si>
  <si>
    <t>Own assumptions</t>
  </si>
  <si>
    <t>Standard values</t>
  </si>
  <si>
    <t>Maximum blending share</t>
  </si>
  <si>
    <t>Extrapolation rule</t>
  </si>
  <si>
    <t>Minimum blending share</t>
  </si>
  <si>
    <t>IE</t>
  </si>
  <si>
    <t>Ireland</t>
  </si>
  <si>
    <t xml:space="preserve">2018                        Units = ktoe
</t>
  </si>
  <si>
    <t>NACE (Rev 2)</t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</si>
  <si>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</si>
  <si>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</si>
  <si>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</si>
  <si>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</si>
  <si>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</si>
  <si>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</si>
  <si>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</si>
  <si>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</si>
  <si>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</si>
  <si>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</si>
  <si>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</si>
  <si>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Feedstocks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</si>
  <si>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</si>
  <si>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</si>
  <si>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</si>
  <si>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</si>
  <si>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</si>
  <si>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</si>
  <si>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</si>
  <si>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</si>
  <si>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</si>
  <si>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</si>
  <si>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</si>
  <si>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</si>
  <si>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</si>
  <si>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</si>
  <si>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</si>
  <si>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</si>
  <si>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Biomass</t>
  </si>
  <si>
    <t xml:space="preserve"> Renewable Waste</t>
  </si>
  <si>
    <t xml:space="preserve"> Landfill Gas</t>
  </si>
  <si>
    <t xml:space="preserve"> Biogas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</si>
  <si>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</si>
  <si>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</si>
  <si>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</si>
  <si>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</si>
  <si>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</si>
  <si>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</si>
  <si>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</si>
  <si>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</si>
  <si>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</si>
  <si>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</si>
  <si>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</si>
  <si>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</si>
  <si>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</si>
  <si>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</si>
  <si>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</si>
  <si>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</si>
  <si>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</si>
  <si>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</si>
  <si>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</si>
  <si>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</si>
  <si>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</si>
  <si>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</si>
  <si>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</si>
  <si>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</si>
  <si>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Industry*</t>
  </si>
  <si>
    <t>Non-Energy Mining</t>
  </si>
  <si>
    <t>05-09</t>
  </si>
  <si>
    <t>Food &amp; beverages</t>
  </si>
  <si>
    <t>10-11</t>
  </si>
  <si>
    <t>Textiles and textile products</t>
  </si>
  <si>
    <t>13-14</t>
  </si>
  <si>
    <t>Wood and wood products</t>
  </si>
  <si>
    <t>16</t>
  </si>
  <si>
    <t>Pulp, paper, publishing and printing</t>
  </si>
  <si>
    <t>17-18</t>
  </si>
  <si>
    <t>Chemicals &amp; man-made fibres</t>
  </si>
  <si>
    <t>20-21</t>
  </si>
  <si>
    <t>Rubber and plastic products</t>
  </si>
  <si>
    <t>22</t>
  </si>
  <si>
    <t>Other non-metallic mineral products</t>
  </si>
  <si>
    <t>23</t>
  </si>
  <si>
    <t>Basic metals and fabricated metal products</t>
  </si>
  <si>
    <t>24-25</t>
  </si>
  <si>
    <t>Machinery and equipment n.e.c.</t>
  </si>
  <si>
    <t>28</t>
  </si>
  <si>
    <t>Electrical and optical equipment</t>
  </si>
  <si>
    <t>26-27</t>
  </si>
  <si>
    <t>Transport equipment manufacture</t>
  </si>
  <si>
    <t>29-30</t>
  </si>
  <si>
    <t>Other manufacturing</t>
  </si>
  <si>
    <t>31-33, 12 &amp; 15</t>
  </si>
  <si>
    <t>Construction</t>
  </si>
  <si>
    <t>41-43</t>
  </si>
  <si>
    <t>Transport</t>
  </si>
  <si>
    <t>Road Freight</t>
  </si>
  <si>
    <t>Road Light Goods Vehicle</t>
  </si>
  <si>
    <t>Road Private Car</t>
  </si>
  <si>
    <t>Public Passenger Services</t>
  </si>
  <si>
    <t>Rail</t>
  </si>
  <si>
    <t>Domestic Aviation</t>
  </si>
  <si>
    <t>International Aviation</t>
  </si>
  <si>
    <t>Fuel Tourism</t>
  </si>
  <si>
    <t>Navigation</t>
  </si>
  <si>
    <t>Unspecified</t>
  </si>
  <si>
    <t>Commercial/Public Services*</t>
  </si>
  <si>
    <t>Commercial Services*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</si>
  <si>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</si>
  <si>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</si>
  <si>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</si>
  <si>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</si>
  <si>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</si>
  <si>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</si>
  <si>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</si>
  <si>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</si>
  <si>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</si>
  <si>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</si>
  <si>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</si>
  <si>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Public Services*</t>
  </si>
  <si>
    <t>Water Supply, Sewerage, and Waste Management</t>
  </si>
  <si>
    <t>36-39</t>
  </si>
  <si>
    <t>Public Administration</t>
  </si>
  <si>
    <t>Health, Residential Care and Social Work Activities</t>
  </si>
  <si>
    <t>86-88</t>
  </si>
  <si>
    <t>Agricultural</t>
  </si>
  <si>
    <t>Fisheries</t>
  </si>
  <si>
    <t>Statistical Difference</t>
  </si>
  <si>
    <t>2018 provisional data</t>
  </si>
  <si>
    <t>2018 provisional data based on 2017 breakdown</t>
  </si>
  <si>
    <t>2017 data</t>
  </si>
  <si>
    <t>Sod peat is estimated due to new legislation and the methodology is under review</t>
  </si>
  <si>
    <t>Statistical differences may exist for crude oil between the calculated primary energy requirement and the observed refinery input</t>
  </si>
  <si>
    <t>Development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</si>
  <si>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</si>
  <si>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</si>
  <si>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</si>
  <si>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</si>
  <si>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</si>
  <si>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</si>
  <si>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</si>
  <si>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</si>
  <si>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</si>
  <si>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</si>
  <si>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</si>
  <si>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</si>
  <si>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</si>
  <si>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</si>
  <si>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</si>
  <si>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</si>
  <si>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</si>
  <si>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</si>
  <si>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</si>
  <si>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</si>
  <si>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</si>
  <si>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</si>
  <si>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</si>
  <si>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</si>
  <si>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</si>
  <si>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</si>
  <si>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</si>
  <si>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</si>
  <si>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</si>
  <si>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</si>
  <si>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</si>
  <si>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</si>
  <si>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</si>
  <si>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</si>
  <si>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</si>
  <si>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</si>
  <si>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</si>
  <si>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</si>
  <si>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</si>
  <si>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</si>
  <si>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</si>
  <si>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</si>
  <si>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</si>
  <si>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</si>
  <si>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</si>
  <si>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</si>
  <si>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</si>
  <si>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</si>
  <si>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</si>
  <si>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</si>
  <si>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</si>
  <si>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</si>
  <si>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</si>
  <si>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</si>
  <si>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</si>
  <si>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</si>
  <si>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</si>
  <si>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</si>
  <si>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Table 1</t>
  </si>
  <si>
    <t xml:space="preserve"> </t>
  </si>
  <si>
    <t>Table 2</t>
  </si>
  <si>
    <t>Table 3</t>
  </si>
  <si>
    <t>Table 4</t>
  </si>
  <si>
    <t>Sub-sector</t>
  </si>
  <si>
    <t>check</t>
  </si>
  <si>
    <t>Commercial Services</t>
  </si>
  <si>
    <t>Public Services</t>
  </si>
  <si>
    <t>Cooking</t>
  </si>
  <si>
    <t>Energy Balance 2018 (ktoe)</t>
  </si>
  <si>
    <t>Energy Balance 2018 (PJ)</t>
  </si>
  <si>
    <t>Biomass</t>
  </si>
  <si>
    <t>AHT</t>
  </si>
  <si>
    <t>Ambient Heat</t>
  </si>
  <si>
    <t>Sub-type</t>
  </si>
  <si>
    <t>HP</t>
  </si>
  <si>
    <t>Conventional</t>
  </si>
  <si>
    <t>All fuels</t>
  </si>
  <si>
    <t>CK</t>
  </si>
  <si>
    <t>LIG</t>
  </si>
  <si>
    <t>Refrigeration</t>
  </si>
  <si>
    <t>REF</t>
  </si>
  <si>
    <t>Other appliances</t>
  </si>
  <si>
    <t>Electric appliances</t>
  </si>
  <si>
    <t>Consumption shares</t>
  </si>
  <si>
    <t>All services</t>
  </si>
  <si>
    <t>CS</t>
  </si>
  <si>
    <t>Source: BPIE (2011), Europe's building under the microscope</t>
  </si>
  <si>
    <t>Final energy consumption</t>
  </si>
  <si>
    <t>Technical Life</t>
  </si>
  <si>
    <t>Own assumption</t>
  </si>
  <si>
    <t>Unit size</t>
  </si>
  <si>
    <t>2) Cooking</t>
  </si>
  <si>
    <t>kunits</t>
  </si>
  <si>
    <t>3) Electric appliances</t>
  </si>
  <si>
    <t>https://www.seai.ie/publications/Public-Sector-Annual-Report-2019.pdf</t>
  </si>
  <si>
    <t>2018 Energy Consumption (Primary)</t>
  </si>
  <si>
    <t>Elec (GWh)</t>
  </si>
  <si>
    <t>Thermal (GWh)</t>
  </si>
  <si>
    <t>Tranport (GWh)</t>
  </si>
  <si>
    <t>Elec (%)</t>
  </si>
  <si>
    <t>Thermal (%)</t>
  </si>
  <si>
    <t>Tranport (%)</t>
  </si>
  <si>
    <t>Civil Service</t>
  </si>
  <si>
    <t>Commercial State Body</t>
  </si>
  <si>
    <t>Education (excl. Schools &amp; ETBs)</t>
  </si>
  <si>
    <t>Justice and Defence</t>
  </si>
  <si>
    <t>Local Authorities and Water Services</t>
  </si>
  <si>
    <t>Non-commercial State Body/State Agency</t>
  </si>
  <si>
    <t>Schools &amp; ETBs</t>
  </si>
  <si>
    <t>2018 Electricity Consumption (Primary)</t>
  </si>
  <si>
    <t>GWh</t>
  </si>
  <si>
    <t>2018 Natural Gas Consumption</t>
  </si>
  <si>
    <t>Office Buildings</t>
  </si>
  <si>
    <t>Healthcare Buildings</t>
  </si>
  <si>
    <t>Education Buildings</t>
  </si>
  <si>
    <t>Other Buildings</t>
  </si>
  <si>
    <t>Water Services</t>
  </si>
  <si>
    <t>Unknown</t>
  </si>
  <si>
    <t>Waste &amp; Other Processing</t>
  </si>
  <si>
    <t>Electricity Generation</t>
  </si>
  <si>
    <t>Buildings</t>
  </si>
  <si>
    <t>SEAI Public Sector Annual Report 2019</t>
  </si>
  <si>
    <t>URL:</t>
  </si>
  <si>
    <t>SRV</t>
  </si>
  <si>
    <t>Data centers</t>
  </si>
  <si>
    <t>DCE</t>
  </si>
  <si>
    <t>Conversion GWh to PJ</t>
  </si>
  <si>
    <t>Office</t>
  </si>
  <si>
    <t>Retail</t>
  </si>
  <si>
    <t>Hotel</t>
  </si>
  <si>
    <t>Table 10 Average Floor Area by Type of Building and County (Non-Domestic) 2009-2018</t>
  </si>
  <si>
    <t>Source: CSO</t>
  </si>
  <si>
    <t>https://www.cso.ie/en/releasesandpublications/er/ndber/non-domesticbuildingenergyratingsq42018/</t>
  </si>
  <si>
    <r>
      <t>m</t>
    </r>
    <r>
      <rPr>
        <b/>
        <i/>
        <vertAlign val="superscript"/>
        <sz val="8"/>
        <color indexed="8"/>
        <rFont val="Arial"/>
        <family val="2"/>
      </rPr>
      <t>2</t>
    </r>
  </si>
  <si>
    <t>County</t>
  </si>
  <si>
    <t>Restaurant/ public house</t>
  </si>
  <si>
    <t>Warehouses</t>
  </si>
  <si>
    <t>Workshops/ maintenance depot</t>
  </si>
  <si>
    <t>Industrial process building</t>
  </si>
  <si>
    <t>Hospitals and primary health care</t>
  </si>
  <si>
    <t>Community/ day centre</t>
  </si>
  <si>
    <t>Nursing residential homes and hostels</t>
  </si>
  <si>
    <t>Schools and colleges</t>
  </si>
  <si>
    <t>Sports facilities</t>
  </si>
  <si>
    <t>All building types</t>
  </si>
  <si>
    <t>Dublin 01-24</t>
  </si>
  <si>
    <t>Dublin County</t>
  </si>
  <si>
    <t>Cork City</t>
  </si>
  <si>
    <t>–</t>
  </si>
  <si>
    <t>Cork County</t>
  </si>
  <si>
    <t>Limerick City</t>
  </si>
  <si>
    <t>Limerick County</t>
  </si>
  <si>
    <t>Waterford City</t>
  </si>
  <si>
    <t>Waterford County</t>
  </si>
  <si>
    <t>Galway City</t>
  </si>
  <si>
    <t>Galway County</t>
  </si>
  <si>
    <t>– No data is available for this building type and county</t>
  </si>
  <si>
    <t>Public lighting</t>
  </si>
  <si>
    <t>Other services</t>
  </si>
  <si>
    <t>Annual power utilisation</t>
  </si>
  <si>
    <t>SEAI</t>
  </si>
  <si>
    <t>EirGrid</t>
  </si>
  <si>
    <t>Sources:</t>
  </si>
  <si>
    <t>All types</t>
  </si>
  <si>
    <t>Calculated Stock</t>
  </si>
  <si>
    <t>Calculated consumption</t>
  </si>
  <si>
    <t>diff.</t>
  </si>
  <si>
    <t>CSO</t>
  </si>
  <si>
    <t>Table 8 Main Space Heating System Fuel by Type of Building (Non-Domestic) 2009-2018</t>
  </si>
  <si>
    <t>% of row</t>
  </si>
  <si>
    <t>Building Type</t>
  </si>
  <si>
    <t>Heating System Fuel</t>
  </si>
  <si>
    <t>Mains Gas</t>
  </si>
  <si>
    <t>Heating Oil</t>
  </si>
  <si>
    <t>Restaurant/public house</t>
  </si>
  <si>
    <t>Workshops/maintenance depot</t>
  </si>
  <si>
    <t>Community/day centre</t>
  </si>
  <si>
    <t>Private</t>
  </si>
  <si>
    <r>
      <t>Total</t>
    </r>
    <r>
      <rPr>
        <sz val="8"/>
        <rFont val="Arial"/>
        <family val="2"/>
      </rPr>
      <t xml:space="preserve"> (number)</t>
    </r>
  </si>
  <si>
    <t xml:space="preserve">Fraction of </t>
  </si>
  <si>
    <r>
      <t>Total</t>
    </r>
    <r>
      <rPr>
        <sz val="11"/>
        <rFont val="Calibri"/>
        <family val="2"/>
        <scheme val="minor"/>
      </rPr>
      <t xml:space="preserve"> (Mm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</si>
  <si>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*</t>
  </si>
  <si>
    <t>Other uses</t>
  </si>
  <si>
    <t>Fuel Short name</t>
  </si>
  <si>
    <t>Fuel Long name</t>
  </si>
  <si>
    <t>Sub-sector short name</t>
  </si>
  <si>
    <t>Energy service short name</t>
  </si>
  <si>
    <t>Expected production</t>
  </si>
  <si>
    <t>Characterization of thermal energy services</t>
  </si>
  <si>
    <t>Characterization of Cooking technologies</t>
  </si>
  <si>
    <t>4) Public street lighting</t>
  </si>
  <si>
    <t>5) Data centers</t>
  </si>
  <si>
    <t>kunits to PJ</t>
  </si>
  <si>
    <t>output unit/PJ</t>
  </si>
  <si>
    <t>(see notes)</t>
  </si>
  <si>
    <t>Tot</t>
  </si>
  <si>
    <t>X1</t>
  </si>
  <si>
    <t>X2</t>
  </si>
  <si>
    <t>X3</t>
  </si>
  <si>
    <t>X4</t>
  </si>
  <si>
    <t>Characterization of Public lighting</t>
  </si>
  <si>
    <t>Characterization of Data centers</t>
  </si>
  <si>
    <t>Commodity name</t>
  </si>
  <si>
    <t>Characterization of Building stocks</t>
  </si>
  <si>
    <t>BY demands</t>
  </si>
  <si>
    <t>Region</t>
  </si>
  <si>
    <t>SRVCO2N</t>
  </si>
  <si>
    <t>SRVCH4N</t>
  </si>
  <si>
    <t>SRVSO2N</t>
  </si>
  <si>
    <t>SRVNOXN</t>
  </si>
  <si>
    <t>SRVPM10</t>
  </si>
  <si>
    <t>SRVPM25</t>
  </si>
  <si>
    <t>Methane (SRV)</t>
  </si>
  <si>
    <t>Sulphur Oxides (SRV)</t>
  </si>
  <si>
    <t>Nitrogen Oxide (SRV)</t>
  </si>
  <si>
    <t>Particulate Matter &lt;10 µm (SRV)</t>
  </si>
  <si>
    <t>Particulate Matter &lt;2.5 µm (SRV)</t>
  </si>
  <si>
    <t>Carbon Dioxide - Combustion (SRV)</t>
  </si>
  <si>
    <t>kt</t>
  </si>
  <si>
    <t>Regions</t>
  </si>
  <si>
    <t>Sub-sectors</t>
  </si>
  <si>
    <t>Fuels</t>
  </si>
  <si>
    <t>Dimension</t>
  </si>
  <si>
    <t>Short code</t>
  </si>
  <si>
    <t>Full code</t>
  </si>
  <si>
    <t>Comm-IN-A</t>
  </si>
  <si>
    <t>Auxiliary input commodity</t>
  </si>
  <si>
    <t>Ambient heat consumption</t>
  </si>
  <si>
    <r>
      <t>PJ</t>
    </r>
    <r>
      <rPr>
        <vertAlign val="subscript"/>
        <sz val="10"/>
        <color theme="1"/>
        <rFont val="Calibri"/>
        <family val="2"/>
        <scheme val="minor"/>
      </rPr>
      <t>in</t>
    </r>
    <r>
      <rPr>
        <sz val="10"/>
        <color theme="1"/>
        <rFont val="Calibri"/>
        <family val="2"/>
        <scheme val="minor"/>
      </rPr>
      <t>/PJ</t>
    </r>
    <r>
      <rPr>
        <vertAlign val="subscript"/>
        <sz val="10"/>
        <color theme="1"/>
        <rFont val="Calibri"/>
        <family val="2"/>
        <scheme val="minor"/>
      </rPr>
      <t>out</t>
    </r>
  </si>
  <si>
    <t>RENSOL</t>
  </si>
  <si>
    <t>RENAHT</t>
  </si>
  <si>
    <t>District heating</t>
  </si>
  <si>
    <t>COABIT,COALIG,COAHAR</t>
  </si>
  <si>
    <t>OILKER</t>
  </si>
  <si>
    <t>BIOWOO,BIOWPE,BIOWCH</t>
  </si>
  <si>
    <t>BIOETH1G,BIOETH2G</t>
  </si>
  <si>
    <t>BIODST1G,BIODST2G</t>
  </si>
  <si>
    <t>ELCD</t>
  </si>
  <si>
    <t>BIOGAS1G, BIOGAS2G</t>
  </si>
  <si>
    <t>RENWIN</t>
  </si>
  <si>
    <t>SUPH2GD</t>
  </si>
  <si>
    <t>H2G</t>
  </si>
  <si>
    <t>Hydrogen (gaseous)</t>
  </si>
  <si>
    <t>Hydrogen (liquid)</t>
  </si>
  <si>
    <t>H2L</t>
  </si>
  <si>
    <t>SUPH2LD</t>
  </si>
  <si>
    <t>Ethanol</t>
  </si>
  <si>
    <t>ETH</t>
  </si>
  <si>
    <t>Energy Balance breakdown</t>
  </si>
  <si>
    <t>Energy balance breakdown and other elaborations</t>
  </si>
  <si>
    <t>External data sources</t>
  </si>
  <si>
    <t>aaa</t>
  </si>
  <si>
    <t>Model input</t>
  </si>
  <si>
    <t>Model input based on own assumptions</t>
  </si>
  <si>
    <t>Calculated value (not recommended to directly modify)</t>
  </si>
  <si>
    <t>Sources</t>
  </si>
  <si>
    <t>Sectoral energy balance 2018</t>
  </si>
  <si>
    <t>Energy balance breakdown</t>
  </si>
  <si>
    <t>Efficiencies, Appliances stock</t>
  </si>
  <si>
    <t>Technical life, Number of functioning hours, W per appliance (in average operating mode), technical life</t>
  </si>
  <si>
    <t>Share-I~FX</t>
  </si>
  <si>
    <t>Share-I~FX~0</t>
  </si>
  <si>
    <t>I/E rule</t>
  </si>
  <si>
    <t>Input shares</t>
  </si>
  <si>
    <t>OILDST</t>
  </si>
  <si>
    <t>OILHFO</t>
  </si>
  <si>
    <t xml:space="preserve">Energia </t>
  </si>
  <si>
    <t>PJa</t>
  </si>
  <si>
    <t>Munits</t>
  </si>
  <si>
    <t>Energy intensities</t>
  </si>
  <si>
    <t>AFA~FX</t>
  </si>
  <si>
    <t>AFA~FX~0</t>
  </si>
  <si>
    <t>capacity to output unit</t>
  </si>
  <si>
    <t>Total BY stock</t>
  </si>
  <si>
    <t>Ambient Heat 2</t>
  </si>
  <si>
    <t>AHT2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</si>
  <si>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</si>
  <si>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</si>
  <si>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</si>
  <si>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</si>
  <si>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</si>
  <si>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</si>
  <si>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</si>
  <si>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</si>
  <si>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</si>
  <si>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</si>
  <si>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</si>
  <si>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Olexandr Balyk (UCC, olexandr.balyk@ucc.ie)</t>
  </si>
  <si>
    <t>Base Year Template</t>
  </si>
  <si>
    <t>Service sector (SRV)</t>
  </si>
  <si>
    <t>Specify base year data and define sector structure</t>
  </si>
  <si>
    <t>*Region name</t>
  </si>
  <si>
    <t>Attribute</t>
  </si>
  <si>
    <t>*Region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</si>
  <si>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</si>
  <si>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</si>
  <si>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</si>
  <si>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</si>
  <si>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</si>
  <si>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</si>
  <si>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</si>
  <si>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</si>
  <si>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</si>
  <si>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</si>
  <si>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</si>
  <si>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</si>
  <si>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</si>
  <si>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*Industry &amp; Services sub-sectoral breakdown is based on the BEUS 2018.</t>
  </si>
  <si>
    <t>Last Updated : 1st September 2022</t>
  </si>
  <si>
    <t>INVCOST</t>
  </si>
  <si>
    <t>FIXOM</t>
  </si>
  <si>
    <t>LIFE</t>
  </si>
  <si>
    <t>CAP2ACT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</si>
</sst>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\Te\x\t"/>
    <numFmt numFmtId="167" formatCode="0.000"/>
    <numFmt numFmtId="168" formatCode="0.0%"/>
    <numFmt numFmtId="169" formatCode="dd/mm/yyyy;@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name val="Myriad Pro"/>
      <family val="2"/>
    </font>
    <font>
      <b/>
      <sz val="14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12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Myriad Pro"/>
      <family val="2"/>
    </font>
    <font>
      <b/>
      <sz val="10"/>
      <name val="Myriad Pro"/>
      <family val="2"/>
    </font>
    <font>
      <b/>
      <sz val="18"/>
      <color rgb="FFFF0000"/>
      <name val="Myriad Pro"/>
      <family val="2"/>
    </font>
    <font>
      <sz val="10"/>
      <color rgb="FFFF0000"/>
      <name val="Myriad Pro"/>
      <family val="2"/>
    </font>
    <font>
      <b/>
      <sz val="10"/>
      <color rgb="FFFF0000"/>
      <name val="Myriad Pro"/>
      <family val="2"/>
    </font>
    <font>
      <b/>
      <sz val="24"/>
      <color theme="1"/>
      <name val="Times New Roman"/>
      <family val="1"/>
      <charset val="162"/>
    </font>
    <font>
      <b/>
      <sz val="8"/>
      <color rgb="FFFF0000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i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b/>
      <i/>
      <vertAlign val="superscript"/>
      <sz val="8"/>
      <color indexed="8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8"/>
      <name val="Arial"/>
      <family val="2"/>
    </font>
    <font>
      <b/>
      <sz val="8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</font>
    <font>
      <b/>
      <sz val="10"/>
      <name val="Arial"/>
      <family val="2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</fills>
  <borders count="1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</borders>
  <cellStyleXfs count="13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23" borderId="0" applyNumberFormat="0" applyBorder="0" applyAlignment="0" applyProtection="0"/>
    <xf numFmtId="0" fontId="17" fillId="12" borderId="0" applyNumberFormat="0" applyBorder="0" applyAlignment="0" applyProtection="0"/>
    <xf numFmtId="0" fontId="1" fillId="27" borderId="0" applyNumberFormat="0" applyBorder="0" applyAlignment="0" applyProtection="0"/>
    <xf numFmtId="0" fontId="17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10" borderId="0" applyNumberFormat="0" applyBorder="0" applyAlignment="0" applyProtection="0"/>
    <xf numFmtId="0" fontId="17" fillId="28" borderId="0" applyNumberFormat="0" applyBorder="0" applyAlignment="0" applyProtection="0"/>
    <xf numFmtId="0" fontId="14" fillId="0" borderId="0" applyNumberFormat="0" applyFill="0" applyBorder="0" applyAlignment="0" applyProtection="0"/>
    <xf numFmtId="0" fontId="17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7" fillId="2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7" fillId="16" borderId="0" applyNumberFormat="0" applyBorder="0" applyAlignment="0" applyProtection="0"/>
    <xf numFmtId="0" fontId="17" fillId="24" borderId="0" applyNumberFormat="0" applyBorder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7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5" fillId="0" borderId="0" applyNumberFormat="0" applyFill="0" applyBorder="0" applyAlignment="0" applyProtection="0"/>
    <xf numFmtId="0" fontId="11" fillId="6" borderId="4" applyNumberFormat="0" applyAlignment="0" applyProtection="0"/>
    <xf numFmtId="0" fontId="17" fillId="32" borderId="0" applyNumberFormat="0" applyBorder="0" applyAlignment="0" applyProtection="0"/>
    <xf numFmtId="0" fontId="17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7" fillId="24" borderId="0" applyNumberFormat="0" applyBorder="0" applyAlignment="0" applyProtection="0"/>
    <xf numFmtId="0" fontId="1" fillId="18" borderId="0" applyNumberFormat="0" applyBorder="0" applyAlignment="0" applyProtection="0"/>
    <xf numFmtId="0" fontId="10" fillId="6" borderId="5" applyNumberFormat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7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" fillId="26" borderId="0" applyNumberFormat="0" applyBorder="0" applyAlignment="0" applyProtection="0"/>
    <xf numFmtId="0" fontId="17" fillId="20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7" fillId="16" borderId="0" applyNumberFormat="0" applyBorder="0" applyAlignment="0" applyProtection="0"/>
    <xf numFmtId="0" fontId="1" fillId="23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0" borderId="9" applyNumberFormat="0" applyFill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26" borderId="0" applyNumberFormat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0" fontId="74" fillId="0" borderId="0"/>
    <xf numFmtId="0" fontId="32" fillId="0" borderId="0"/>
    <xf numFmtId="0" fontId="75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/>
    <xf numFmtId="0" fontId="26" fillId="0" borderId="0" applyNumberFormat="0" applyFill="0" applyBorder="0" applyAlignment="0" applyProtection="0"/>
  </cellStyleXfs>
  <cellXfs count="625">
    <xf numFmtId="0" fontId="0" fillId="0" borderId="0" xfId="0"/>
    <xf numFmtId="0" fontId="19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25" fillId="35" borderId="0" xfId="0" applyFont="1" applyFill="1" applyAlignment="1">
      <alignment vertical="center"/>
    </xf>
    <xf numFmtId="0" fontId="19" fillId="35" borderId="0" xfId="43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vertical="center"/>
    </xf>
    <xf numFmtId="0" fontId="27" fillId="0" borderId="0" xfId="0" applyFont="1" applyAlignment="1">
      <alignment vertical="center"/>
    </xf>
    <xf numFmtId="0" fontId="1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17" xfId="0" applyBorder="1" applyAlignment="1">
      <alignment horizontal="left" vertical="center"/>
    </xf>
    <xf numFmtId="165" fontId="0" fillId="0" borderId="11" xfId="0" applyNumberForma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39" borderId="22" xfId="0" applyFont="1" applyFill="1" applyBorder="1" applyAlignment="1">
      <alignment horizontal="left" vertical="center"/>
    </xf>
    <xf numFmtId="0" fontId="35" fillId="39" borderId="14" xfId="0" applyFont="1" applyFill="1" applyBorder="1" applyAlignment="1">
      <alignment vertical="center"/>
    </xf>
    <xf numFmtId="0" fontId="35" fillId="39" borderId="12" xfId="0" applyFont="1" applyFill="1" applyBorder="1" applyAlignment="1">
      <alignment vertical="center"/>
    </xf>
    <xf numFmtId="0" fontId="35" fillId="39" borderId="23" xfId="0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20" fillId="0" borderId="13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20" fillId="0" borderId="11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38" fillId="0" borderId="0" xfId="0" applyFon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33" fillId="40" borderId="26" xfId="0" applyFont="1" applyFill="1" applyBorder="1" applyAlignment="1">
      <alignment horizontal="left" vertical="center" wrapText="1"/>
    </xf>
    <xf numFmtId="0" fontId="33" fillId="40" borderId="26" xfId="0" applyFont="1" applyFill="1" applyBorder="1" applyAlignment="1">
      <alignment horizontal="left" vertical="center"/>
    </xf>
    <xf numFmtId="0" fontId="33" fillId="40" borderId="11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13" fillId="39" borderId="22" xfId="0" applyFont="1" applyFill="1" applyBorder="1" applyAlignment="1">
      <alignment horizontal="left" vertical="center" wrapText="1"/>
    </xf>
    <xf numFmtId="0" fontId="33" fillId="40" borderId="12" xfId="0" applyFont="1" applyFill="1" applyBorder="1" applyAlignment="1">
      <alignment horizontal="left" vertical="center" wrapText="1"/>
    </xf>
    <xf numFmtId="2" fontId="19" fillId="0" borderId="0" xfId="0" applyNumberFormat="1" applyFont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167" fontId="19" fillId="0" borderId="0" xfId="0" applyNumberFormat="1" applyFont="1" applyAlignment="1">
      <alignment horizontal="left" vertical="center"/>
    </xf>
    <xf numFmtId="166" fontId="0" fillId="0" borderId="11" xfId="0" applyNumberForma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3" fillId="40" borderId="12" xfId="0" applyFont="1" applyFill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33" fillId="40" borderId="11" xfId="0" applyFont="1" applyFill="1" applyBorder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" fontId="19" fillId="0" borderId="0" xfId="0" applyNumberFormat="1" applyFont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33" fillId="0" borderId="17" xfId="0" applyFon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33" fillId="40" borderId="0" xfId="0" applyFont="1" applyFill="1" applyAlignment="1">
      <alignment horizontal="left" vertical="center" wrapText="1"/>
    </xf>
    <xf numFmtId="9" fontId="0" fillId="0" borderId="0" xfId="42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19" fillId="0" borderId="13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3" fontId="23" fillId="0" borderId="0" xfId="0" applyNumberFormat="1" applyFont="1" applyAlignment="1">
      <alignment horizontal="left" vertical="center"/>
    </xf>
    <xf numFmtId="9" fontId="0" fillId="0" borderId="0" xfId="42" applyFont="1" applyFill="1" applyBorder="1" applyAlignment="1">
      <alignment horizontal="left" vertical="center"/>
    </xf>
    <xf numFmtId="9" fontId="19" fillId="0" borderId="0" xfId="42" applyFont="1" applyFill="1" applyBorder="1" applyAlignment="1">
      <alignment horizontal="left" vertical="center"/>
    </xf>
    <xf numFmtId="0" fontId="0" fillId="0" borderId="11" xfId="0" applyBorder="1"/>
    <xf numFmtId="0" fontId="19" fillId="0" borderId="11" xfId="0" applyFont="1" applyBorder="1" applyAlignment="1">
      <alignment horizontal="left" vertical="center" wrapText="1"/>
    </xf>
    <xf numFmtId="2" fontId="16" fillId="0" borderId="0" xfId="0" applyNumberFormat="1" applyFont="1" applyAlignment="1">
      <alignment horizontal="left" vertical="center"/>
    </xf>
    <xf numFmtId="0" fontId="0" fillId="0" borderId="17" xfId="0" quotePrefix="1" applyBorder="1" applyAlignment="1">
      <alignment horizontal="left" vertical="center"/>
    </xf>
    <xf numFmtId="2" fontId="19" fillId="0" borderId="11" xfId="0" applyNumberFormat="1" applyFont="1" applyBorder="1" applyAlignment="1">
      <alignment horizontal="left" vertical="center"/>
    </xf>
    <xf numFmtId="0" fontId="19" fillId="0" borderId="11" xfId="0" applyFont="1" applyBorder="1" applyAlignment="1">
      <alignment vertical="center" wrapText="1"/>
    </xf>
    <xf numFmtId="38" fontId="34" fillId="0" borderId="0" xfId="0" applyNumberFormat="1" applyFont="1"/>
    <xf numFmtId="38" fontId="46" fillId="35" borderId="0" xfId="0" applyNumberFormat="1" applyFont="1" applyFill="1"/>
    <xf numFmtId="38" fontId="47" fillId="35" borderId="0" xfId="0" applyNumberFormat="1" applyFont="1" applyFill="1"/>
    <xf numFmtId="38" fontId="48" fillId="35" borderId="0" xfId="0" applyNumberFormat="1" applyFont="1" applyFill="1"/>
    <xf numFmtId="38" fontId="45" fillId="0" borderId="0" xfId="0" applyNumberFormat="1" applyFont="1"/>
    <xf numFmtId="38" fontId="45" fillId="0" borderId="0" xfId="0" applyNumberFormat="1" applyFont="1" applyAlignment="1">
      <alignment horizontal="center"/>
    </xf>
    <xf numFmtId="38" fontId="34" fillId="0" borderId="0" xfId="0" applyNumberFormat="1" applyFont="1" applyAlignment="1">
      <alignment horizontal="left"/>
    </xf>
    <xf numFmtId="38" fontId="34" fillId="0" borderId="0" xfId="0" applyNumberFormat="1" applyFont="1" applyAlignment="1">
      <alignment horizontal="center"/>
    </xf>
    <xf numFmtId="38" fontId="0" fillId="0" borderId="0" xfId="0" applyNumberFormat="1"/>
    <xf numFmtId="38" fontId="34" fillId="43" borderId="0" xfId="0" applyNumberFormat="1" applyFont="1" applyFill="1" applyAlignment="1">
      <alignment horizontal="left"/>
    </xf>
    <xf numFmtId="38" fontId="0" fillId="34" borderId="0" xfId="0" applyNumberFormat="1" applyFill="1"/>
    <xf numFmtId="0" fontId="16" fillId="37" borderId="11" xfId="0" applyFont="1" applyFill="1" applyBorder="1" applyAlignment="1">
      <alignment horizontal="left" vertical="center"/>
    </xf>
    <xf numFmtId="0" fontId="16" fillId="37" borderId="11" xfId="0" applyFont="1" applyFill="1" applyBorder="1" applyAlignment="1" applyProtection="1">
      <alignment horizontal="left" vertical="center"/>
      <protection locked="0"/>
    </xf>
    <xf numFmtId="0" fontId="16" fillId="38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3" fillId="0" borderId="161" xfId="0" applyFont="1" applyBorder="1" applyAlignment="1">
      <alignment horizontal="right" vertical="center"/>
    </xf>
    <xf numFmtId="0" fontId="23" fillId="0" borderId="161" xfId="0" applyFont="1" applyBorder="1" applyAlignment="1">
      <alignment vertical="center"/>
    </xf>
    <xf numFmtId="38" fontId="16" fillId="0" borderId="35" xfId="0" applyNumberFormat="1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38" fontId="0" fillId="0" borderId="0" xfId="0" applyNumberFormat="1" applyAlignment="1">
      <alignment vertical="center"/>
    </xf>
    <xf numFmtId="0" fontId="52" fillId="0" borderId="11" xfId="0" applyFont="1" applyBorder="1" applyAlignment="1">
      <alignment vertical="center"/>
    </xf>
    <xf numFmtId="4" fontId="0" fillId="44" borderId="35" xfId="0" applyNumberFormat="1" applyFill="1" applyBorder="1" applyAlignment="1">
      <alignment horizontal="center" vertical="center"/>
    </xf>
    <xf numFmtId="4" fontId="0" fillId="44" borderId="0" xfId="0" applyNumberFormat="1" applyFill="1" applyAlignment="1">
      <alignment horizontal="center" vertical="center"/>
    </xf>
    <xf numFmtId="4" fontId="0" fillId="44" borderId="11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4" fontId="16" fillId="0" borderId="11" xfId="0" applyNumberFormat="1" applyFon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16" fillId="0" borderId="0" xfId="0" applyFont="1" applyAlignment="1">
      <alignment horizontal="center" vertical="center"/>
    </xf>
    <xf numFmtId="2" fontId="0" fillId="0" borderId="0" xfId="0" applyNumberFormat="1" applyAlignment="1">
      <alignment vertical="center"/>
    </xf>
    <xf numFmtId="168" fontId="0" fillId="44" borderId="0" xfId="42" applyNumberFormat="1" applyFont="1" applyFill="1" applyBorder="1" applyAlignment="1">
      <alignment horizontal="center" vertical="center"/>
    </xf>
    <xf numFmtId="10" fontId="0" fillId="44" borderId="0" xfId="42" applyNumberFormat="1" applyFont="1" applyFill="1" applyBorder="1" applyAlignment="1">
      <alignment horizontal="center" vertical="center"/>
    </xf>
    <xf numFmtId="168" fontId="0" fillId="44" borderId="0" xfId="0" applyNumberFormat="1" applyFill="1" applyAlignment="1">
      <alignment horizontal="center" vertical="center"/>
    </xf>
    <xf numFmtId="0" fontId="16" fillId="0" borderId="17" xfId="0" applyFon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168" fontId="14" fillId="44" borderId="0" xfId="42" applyNumberFormat="1" applyFont="1" applyFill="1" applyBorder="1" applyAlignment="1">
      <alignment horizontal="center" vertical="center"/>
    </xf>
    <xf numFmtId="0" fontId="16" fillId="0" borderId="161" xfId="0" applyFont="1" applyBorder="1" applyAlignment="1">
      <alignment horizontal="center" vertical="center"/>
    </xf>
    <xf numFmtId="2" fontId="16" fillId="0" borderId="161" xfId="0" applyNumberFormat="1" applyFont="1" applyBorder="1" applyAlignment="1">
      <alignment horizontal="center" vertical="center"/>
    </xf>
    <xf numFmtId="168" fontId="16" fillId="0" borderId="161" xfId="0" applyNumberFormat="1" applyFont="1" applyBorder="1" applyAlignment="1">
      <alignment horizontal="center" vertical="center"/>
    </xf>
    <xf numFmtId="0" fontId="16" fillId="0" borderId="161" xfId="0" applyFont="1" applyBorder="1" applyAlignment="1">
      <alignment horizontal="left" vertical="center"/>
    </xf>
    <xf numFmtId="2" fontId="16" fillId="0" borderId="161" xfId="0" applyNumberFormat="1" applyFont="1" applyBorder="1" applyAlignment="1">
      <alignment horizontal="left" vertical="center"/>
    </xf>
    <xf numFmtId="9" fontId="16" fillId="0" borderId="161" xfId="0" applyNumberFormat="1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16" fillId="0" borderId="161" xfId="0" applyFont="1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38" fontId="0" fillId="0" borderId="0" xfId="0" applyNumberFormat="1" applyAlignment="1">
      <alignment horizontal="right" vertical="center"/>
    </xf>
    <xf numFmtId="38" fontId="0" fillId="0" borderId="11" xfId="0" applyNumberFormat="1" applyBorder="1" applyAlignment="1">
      <alignment horizontal="right" vertical="center"/>
    </xf>
    <xf numFmtId="9" fontId="0" fillId="44" borderId="0" xfId="0" applyNumberFormat="1" applyFill="1" applyAlignment="1">
      <alignment horizontal="left" vertical="center"/>
    </xf>
    <xf numFmtId="9" fontId="0" fillId="44" borderId="11" xfId="0" applyNumberFormat="1" applyFill="1" applyBorder="1" applyAlignment="1">
      <alignment horizontal="left" vertical="center"/>
    </xf>
    <xf numFmtId="9" fontId="55" fillId="44" borderId="0" xfId="42" applyFont="1" applyFill="1" applyAlignment="1">
      <alignment horizontal="left" vertical="center"/>
    </xf>
    <xf numFmtId="3" fontId="0" fillId="44" borderId="0" xfId="0" applyNumberFormat="1" applyFill="1" applyAlignment="1">
      <alignment horizontal="left" vertical="center"/>
    </xf>
    <xf numFmtId="3" fontId="0" fillId="0" borderId="11" xfId="0" applyNumberFormat="1" applyBorder="1" applyAlignment="1">
      <alignment horizontal="left" vertical="center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9" fillId="0" borderId="17" xfId="0" applyFont="1" applyBorder="1" applyAlignment="1">
      <alignment horizontal="left" vertical="center"/>
    </xf>
    <xf numFmtId="2" fontId="0" fillId="0" borderId="11" xfId="0" applyNumberFormat="1" applyBorder="1" applyAlignment="1">
      <alignment horizontal="left" vertical="center"/>
    </xf>
    <xf numFmtId="9" fontId="0" fillId="44" borderId="0" xfId="42" applyFont="1" applyFill="1" applyBorder="1" applyAlignment="1">
      <alignment horizontal="left" vertical="center"/>
    </xf>
    <xf numFmtId="9" fontId="0" fillId="44" borderId="11" xfId="42" applyFont="1" applyFill="1" applyBorder="1" applyAlignment="1">
      <alignment horizontal="left" vertical="center"/>
    </xf>
    <xf numFmtId="0" fontId="20" fillId="0" borderId="10" xfId="0" applyFont="1" applyBorder="1" applyAlignment="1">
      <alignment vertical="center" wrapText="1"/>
    </xf>
    <xf numFmtId="0" fontId="14" fillId="44" borderId="0" xfId="0" applyFont="1" applyFill="1" applyAlignment="1">
      <alignment horizontal="left" vertical="center"/>
    </xf>
    <xf numFmtId="165" fontId="0" fillId="44" borderId="0" xfId="0" applyNumberFormat="1" applyFill="1" applyAlignment="1">
      <alignment horizontal="left" vertical="center"/>
    </xf>
    <xf numFmtId="1" fontId="14" fillId="44" borderId="0" xfId="0" applyNumberFormat="1" applyFont="1" applyFill="1" applyAlignment="1">
      <alignment horizontal="left" vertical="center"/>
    </xf>
    <xf numFmtId="1" fontId="14" fillId="44" borderId="11" xfId="0" applyNumberFormat="1" applyFont="1" applyFill="1" applyBorder="1" applyAlignment="1">
      <alignment horizontal="left" vertical="center"/>
    </xf>
    <xf numFmtId="1" fontId="14" fillId="44" borderId="0" xfId="42" applyNumberFormat="1" applyFont="1" applyFill="1" applyBorder="1" applyAlignment="1">
      <alignment horizontal="left" vertical="center"/>
    </xf>
    <xf numFmtId="1" fontId="14" fillId="44" borderId="11" xfId="42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4" fillId="44" borderId="11" xfId="0" applyFont="1" applyFill="1" applyBorder="1" applyAlignment="1">
      <alignment horizontal="left" vertical="center"/>
    </xf>
    <xf numFmtId="165" fontId="16" fillId="0" borderId="0" xfId="0" applyNumberFormat="1" applyFont="1" applyAlignment="1">
      <alignment horizontal="left" vertical="center"/>
    </xf>
    <xf numFmtId="168" fontId="14" fillId="44" borderId="0" xfId="0" applyNumberFormat="1" applyFont="1" applyFill="1" applyAlignment="1">
      <alignment horizontal="left" vertical="center"/>
    </xf>
    <xf numFmtId="168" fontId="14" fillId="44" borderId="11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38" fontId="47" fillId="0" borderId="0" xfId="0" applyNumberFormat="1" applyFont="1"/>
    <xf numFmtId="0" fontId="56" fillId="0" borderId="0" xfId="0" applyFont="1" applyAlignment="1">
      <alignment horizontal="left" vertical="center"/>
    </xf>
    <xf numFmtId="0" fontId="26" fillId="0" borderId="0" xfId="43" applyAlignment="1">
      <alignment horizontal="left" vertical="center"/>
    </xf>
    <xf numFmtId="0" fontId="56" fillId="0" borderId="20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3" fontId="56" fillId="0" borderId="20" xfId="0" applyNumberFormat="1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165" fontId="56" fillId="0" borderId="0" xfId="0" applyNumberFormat="1" applyFont="1" applyAlignment="1">
      <alignment horizontal="left" vertical="center"/>
    </xf>
    <xf numFmtId="1" fontId="56" fillId="0" borderId="0" xfId="0" applyNumberFormat="1" applyFont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56" fillId="0" borderId="0" xfId="0" applyNumberFormat="1" applyFont="1" applyAlignment="1">
      <alignment horizontal="left" vertical="center"/>
    </xf>
    <xf numFmtId="0" fontId="56" fillId="44" borderId="20" xfId="0" applyFont="1" applyFill="1" applyBorder="1" applyAlignment="1">
      <alignment horizontal="left" vertical="center"/>
    </xf>
    <xf numFmtId="38" fontId="0" fillId="0" borderId="0" xfId="0" applyNumberFormat="1" applyAlignment="1">
      <alignment horizontal="left" vertical="center"/>
    </xf>
    <xf numFmtId="38" fontId="0" fillId="0" borderId="11" xfId="0" applyNumberFormat="1" applyBorder="1" applyAlignment="1">
      <alignment horizontal="left" vertical="center"/>
    </xf>
    <xf numFmtId="38" fontId="23" fillId="0" borderId="0" xfId="0" applyNumberFormat="1" applyFont="1" applyAlignment="1">
      <alignment horizontal="right" vertical="center"/>
    </xf>
    <xf numFmtId="0" fontId="0" fillId="0" borderId="109" xfId="0" applyBorder="1" applyAlignment="1">
      <alignment vertical="center"/>
    </xf>
    <xf numFmtId="0" fontId="19" fillId="0" borderId="109" xfId="0" applyFont="1" applyBorder="1" applyAlignment="1">
      <alignment horizontal="left" vertical="center"/>
    </xf>
    <xf numFmtId="38" fontId="23" fillId="0" borderId="11" xfId="0" applyNumberFormat="1" applyFont="1" applyBorder="1" applyAlignment="1">
      <alignment horizontal="right" vertical="center"/>
    </xf>
    <xf numFmtId="0" fontId="58" fillId="0" borderId="0" xfId="0" applyFont="1"/>
    <xf numFmtId="0" fontId="57" fillId="0" borderId="0" xfId="0" applyFont="1"/>
    <xf numFmtId="0" fontId="26" fillId="0" borderId="0" xfId="43" applyFill="1"/>
    <xf numFmtId="0" fontId="59" fillId="0" borderId="0" xfId="0" applyFont="1" applyAlignment="1">
      <alignment horizontal="right"/>
    </xf>
    <xf numFmtId="0" fontId="60" fillId="0" borderId="0" xfId="0" applyFont="1" applyAlignment="1">
      <alignment horizontal="right"/>
    </xf>
    <xf numFmtId="0" fontId="57" fillId="0" borderId="161" xfId="0" applyFont="1" applyBorder="1" applyAlignment="1">
      <alignment horizontal="left" vertical="center"/>
    </xf>
    <xf numFmtId="0" fontId="57" fillId="0" borderId="161" xfId="0" applyFont="1" applyBorder="1" applyAlignment="1">
      <alignment horizontal="right" wrapText="1"/>
    </xf>
    <xf numFmtId="2" fontId="57" fillId="0" borderId="0" xfId="0" applyNumberFormat="1" applyFont="1" applyAlignment="1">
      <alignment horizontal="left"/>
    </xf>
    <xf numFmtId="3" fontId="58" fillId="0" borderId="0" xfId="0" applyNumberFormat="1" applyFont="1"/>
    <xf numFmtId="3" fontId="57" fillId="0" borderId="0" xfId="0" applyNumberFormat="1" applyFont="1"/>
    <xf numFmtId="3" fontId="58" fillId="0" borderId="0" xfId="0" applyNumberFormat="1" applyFont="1" applyAlignment="1">
      <alignment horizontal="right"/>
    </xf>
    <xf numFmtId="0" fontId="57" fillId="0" borderId="0" xfId="0" applyFont="1" applyAlignment="1">
      <alignment horizontal="left"/>
    </xf>
    <xf numFmtId="0" fontId="57" fillId="0" borderId="11" xfId="0" applyFont="1" applyBorder="1" applyAlignment="1">
      <alignment horizontal="left"/>
    </xf>
    <xf numFmtId="3" fontId="57" fillId="0" borderId="11" xfId="0" applyNumberFormat="1" applyFont="1" applyBorder="1"/>
    <xf numFmtId="0" fontId="58" fillId="0" borderId="0" xfId="0" applyFont="1" applyAlignment="1">
      <alignment horizontal="left"/>
    </xf>
    <xf numFmtId="4" fontId="23" fillId="0" borderId="0" xfId="0" applyNumberFormat="1" applyFont="1" applyAlignment="1">
      <alignment horizontal="center" vertical="center"/>
    </xf>
    <xf numFmtId="4" fontId="62" fillId="0" borderId="0" xfId="0" applyNumberFormat="1" applyFont="1" applyAlignment="1">
      <alignment horizontal="center" vertical="center"/>
    </xf>
    <xf numFmtId="4" fontId="23" fillId="0" borderId="11" xfId="0" applyNumberFormat="1" applyFont="1" applyBorder="1" applyAlignment="1">
      <alignment horizontal="center" vertical="center"/>
    </xf>
    <xf numFmtId="4" fontId="62" fillId="0" borderId="11" xfId="0" applyNumberFormat="1" applyFon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9" fontId="0" fillId="0" borderId="0" xfId="0" applyNumberFormat="1"/>
    <xf numFmtId="2" fontId="14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0" fillId="0" borderId="161" xfId="0" applyBorder="1" applyAlignment="1">
      <alignment horizontal="left" vertical="center"/>
    </xf>
    <xf numFmtId="0" fontId="0" fillId="44" borderId="161" xfId="0" applyFill="1" applyBorder="1" applyAlignment="1">
      <alignment horizontal="left" vertical="center"/>
    </xf>
    <xf numFmtId="9" fontId="0" fillId="44" borderId="161" xfId="0" applyNumberFormat="1" applyFill="1" applyBorder="1" applyAlignment="1">
      <alignment horizontal="left" vertical="center"/>
    </xf>
    <xf numFmtId="2" fontId="0" fillId="0" borderId="161" xfId="0" applyNumberFormat="1" applyBorder="1" applyAlignment="1">
      <alignment horizontal="left" vertical="center"/>
    </xf>
    <xf numFmtId="4" fontId="23" fillId="44" borderId="0" xfId="0" applyNumberFormat="1" applyFont="1" applyFill="1" applyAlignment="1">
      <alignment horizontal="center" vertical="center"/>
    </xf>
    <xf numFmtId="4" fontId="23" fillId="44" borderId="11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2" fontId="23" fillId="0" borderId="0" xfId="0" applyNumberFormat="1" applyFont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168" fontId="0" fillId="0" borderId="11" xfId="0" applyNumberForma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63" fillId="0" borderId="0" xfId="0" applyFont="1" applyAlignment="1">
      <alignment vertical="center" wrapText="1"/>
    </xf>
    <xf numFmtId="0" fontId="64" fillId="0" borderId="0" xfId="0" applyFont="1" applyAlignment="1">
      <alignment vertical="center" wrapText="1"/>
    </xf>
    <xf numFmtId="0" fontId="62" fillId="0" borderId="124" xfId="0" applyFont="1" applyBorder="1" applyAlignment="1">
      <alignment horizontal="left" vertical="center"/>
    </xf>
    <xf numFmtId="2" fontId="23" fillId="0" borderId="124" xfId="0" applyNumberFormat="1" applyFont="1" applyBorder="1" applyAlignment="1">
      <alignment horizontal="left" vertical="center"/>
    </xf>
    <xf numFmtId="0" fontId="23" fillId="0" borderId="124" xfId="0" applyFont="1" applyBorder="1"/>
    <xf numFmtId="0" fontId="62" fillId="0" borderId="124" xfId="0" applyFont="1" applyBorder="1" applyAlignment="1">
      <alignment horizontal="left" vertical="center" wrapText="1"/>
    </xf>
    <xf numFmtId="3" fontId="0" fillId="44" borderId="11" xfId="0" applyNumberFormat="1" applyFill="1" applyBorder="1" applyAlignment="1">
      <alignment horizontal="left" vertical="center"/>
    </xf>
    <xf numFmtId="0" fontId="57" fillId="0" borderId="11" xfId="0" applyFont="1" applyBorder="1" applyAlignment="1">
      <alignment horizontal="right"/>
    </xf>
    <xf numFmtId="3" fontId="58" fillId="0" borderId="0" xfId="126" applyNumberFormat="1" applyFont="1"/>
    <xf numFmtId="2" fontId="57" fillId="0" borderId="11" xfId="0" applyNumberFormat="1" applyFont="1" applyBorder="1" applyAlignment="1">
      <alignment horizontal="left"/>
    </xf>
    <xf numFmtId="3" fontId="57" fillId="0" borderId="11" xfId="126" applyNumberFormat="1" applyFont="1" applyBorder="1"/>
    <xf numFmtId="9" fontId="0" fillId="0" borderId="0" xfId="0" applyNumberFormat="1" applyAlignment="1">
      <alignment horizontal="left"/>
    </xf>
    <xf numFmtId="0" fontId="28" fillId="0" borderId="11" xfId="0" applyFont="1" applyBorder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16" fillId="0" borderId="11" xfId="126" applyNumberFormat="1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9" fontId="16" fillId="0" borderId="11" xfId="0" applyNumberFormat="1" applyFont="1" applyBorder="1" applyAlignment="1">
      <alignment horizontal="left"/>
    </xf>
    <xf numFmtId="0" fontId="42" fillId="0" borderId="0" xfId="0" applyFont="1"/>
    <xf numFmtId="9" fontId="16" fillId="0" borderId="11" xfId="42" applyFont="1" applyFill="1" applyBorder="1" applyAlignment="1">
      <alignment horizontal="left"/>
    </xf>
    <xf numFmtId="9" fontId="14" fillId="44" borderId="0" xfId="42" applyFont="1" applyFill="1" applyAlignment="1">
      <alignment horizontal="left" vertical="center"/>
    </xf>
    <xf numFmtId="9" fontId="16" fillId="0" borderId="0" xfId="0" applyNumberFormat="1" applyFont="1" applyAlignment="1">
      <alignment horizontal="left" vertical="center"/>
    </xf>
    <xf numFmtId="9" fontId="16" fillId="0" borderId="11" xfId="0" applyNumberFormat="1" applyFont="1" applyBorder="1" applyAlignment="1">
      <alignment horizontal="left" vertical="center"/>
    </xf>
    <xf numFmtId="165" fontId="0" fillId="0" borderId="161" xfId="0" applyNumberFormat="1" applyBorder="1" applyAlignment="1">
      <alignment horizontal="left" vertical="center"/>
    </xf>
    <xf numFmtId="0" fontId="0" fillId="0" borderId="161" xfId="0" applyBorder="1" applyAlignment="1">
      <alignment vertical="center"/>
    </xf>
    <xf numFmtId="0" fontId="23" fillId="0" borderId="11" xfId="0" applyFont="1" applyBorder="1" applyAlignment="1">
      <alignment vertical="center" wrapText="1"/>
    </xf>
    <xf numFmtId="0" fontId="23" fillId="0" borderId="11" xfId="0" applyFont="1" applyBorder="1" applyAlignment="1">
      <alignment horizontal="right" vertical="center" wrapText="1"/>
    </xf>
    <xf numFmtId="1" fontId="14" fillId="0" borderId="161" xfId="0" applyNumberFormat="1" applyFont="1" applyBorder="1" applyAlignment="1">
      <alignment horizontal="left" vertical="center"/>
    </xf>
    <xf numFmtId="1" fontId="55" fillId="44" borderId="11" xfId="42" applyNumberFormat="1" applyFont="1" applyFill="1" applyBorder="1" applyAlignment="1">
      <alignment horizontal="left" vertical="center"/>
    </xf>
    <xf numFmtId="9" fontId="19" fillId="0" borderId="0" xfId="42" applyFont="1" applyFill="1" applyAlignment="1">
      <alignment horizontal="left" vertical="center"/>
    </xf>
    <xf numFmtId="9" fontId="0" fillId="0" borderId="0" xfId="42" applyFont="1" applyFill="1" applyAlignment="1">
      <alignment horizontal="left" vertical="center"/>
    </xf>
    <xf numFmtId="1" fontId="19" fillId="0" borderId="0" xfId="42" applyNumberFormat="1" applyFont="1" applyFill="1" applyAlignment="1">
      <alignment horizontal="left" vertical="center"/>
    </xf>
    <xf numFmtId="0" fontId="1" fillId="0" borderId="11" xfId="0" applyFont="1" applyBorder="1"/>
    <xf numFmtId="165" fontId="0" fillId="0" borderId="13" xfId="0" applyNumberFormat="1" applyBorder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1" fontId="19" fillId="0" borderId="0" xfId="42" applyNumberFormat="1" applyFont="1" applyFill="1" applyBorder="1" applyAlignment="1">
      <alignment horizontal="left" vertical="center"/>
    </xf>
    <xf numFmtId="9" fontId="19" fillId="0" borderId="11" xfId="42" applyFont="1" applyFill="1" applyBorder="1" applyAlignment="1">
      <alignment horizontal="left" vertical="center"/>
    </xf>
    <xf numFmtId="1" fontId="19" fillId="0" borderId="11" xfId="42" applyNumberFormat="1" applyFont="1" applyFill="1" applyBorder="1" applyAlignment="1">
      <alignment horizontal="left" vertical="center"/>
    </xf>
    <xf numFmtId="2" fontId="20" fillId="0" borderId="0" xfId="0" applyNumberFormat="1" applyFont="1" applyAlignment="1">
      <alignment horizontal="left" vertical="center"/>
    </xf>
    <xf numFmtId="9" fontId="20" fillId="0" borderId="0" xfId="42" applyFont="1" applyFill="1" applyAlignment="1">
      <alignment horizontal="left" vertical="center"/>
    </xf>
    <xf numFmtId="1" fontId="20" fillId="0" borderId="0" xfId="42" applyNumberFormat="1" applyFont="1" applyFill="1" applyAlignment="1">
      <alignment horizontal="left" vertical="center"/>
    </xf>
    <xf numFmtId="0" fontId="16" fillId="0" borderId="0" xfId="0" applyFont="1"/>
    <xf numFmtId="0" fontId="0" fillId="0" borderId="17" xfId="0" applyBorder="1" applyAlignment="1">
      <alignment vertical="center"/>
    </xf>
    <xf numFmtId="9" fontId="0" fillId="0" borderId="161" xfId="42" applyFont="1" applyFill="1" applyBorder="1" applyAlignment="1">
      <alignment horizontal="left" vertical="center"/>
    </xf>
    <xf numFmtId="0" fontId="33" fillId="40" borderId="161" xfId="0" applyFont="1" applyFill="1" applyBorder="1" applyAlignment="1">
      <alignment horizontal="left" vertical="center" wrapText="1"/>
    </xf>
    <xf numFmtId="0" fontId="0" fillId="40" borderId="161" xfId="0" applyFill="1" applyBorder="1" applyAlignment="1">
      <alignment horizontal="left" vertical="center"/>
    </xf>
    <xf numFmtId="0" fontId="0" fillId="0" borderId="109" xfId="0" applyBorder="1" applyAlignment="1">
      <alignment horizontal="left" vertical="center"/>
    </xf>
    <xf numFmtId="0" fontId="23" fillId="0" borderId="11" xfId="0" applyFont="1" applyBorder="1" applyAlignment="1">
      <alignment horizontal="left" vertical="center" wrapText="1"/>
    </xf>
    <xf numFmtId="0" fontId="14" fillId="44" borderId="161" xfId="0" applyFont="1" applyFill="1" applyBorder="1" applyAlignment="1">
      <alignment horizontal="left" vertical="center"/>
    </xf>
    <xf numFmtId="0" fontId="14" fillId="0" borderId="161" xfId="0" applyFont="1" applyBorder="1" applyAlignment="1">
      <alignment horizontal="left" vertical="center"/>
    </xf>
    <xf numFmtId="0" fontId="23" fillId="0" borderId="161" xfId="0" applyFont="1" applyBorder="1" applyAlignment="1">
      <alignment horizontal="left" vertical="center"/>
    </xf>
    <xf numFmtId="0" fontId="23" fillId="0" borderId="161" xfId="0" applyFont="1" applyBorder="1" applyAlignment="1">
      <alignment horizontal="left" vertical="center" wrapText="1"/>
    </xf>
    <xf numFmtId="0" fontId="33" fillId="40" borderId="161" xfId="0" applyFont="1" applyFill="1" applyBorder="1" applyAlignment="1">
      <alignment horizontal="left" vertical="center"/>
    </xf>
    <xf numFmtId="1" fontId="20" fillId="0" borderId="0" xfId="42" applyNumberFormat="1" applyFont="1" applyFill="1" applyBorder="1" applyAlignment="1">
      <alignment horizontal="left" vertical="center"/>
    </xf>
    <xf numFmtId="165" fontId="19" fillId="0" borderId="0" xfId="0" applyNumberFormat="1" applyFont="1" applyAlignment="1">
      <alignment horizontal="left" vertical="center"/>
    </xf>
    <xf numFmtId="1" fontId="19" fillId="0" borderId="11" xfId="0" applyNumberFormat="1" applyFont="1" applyBorder="1" applyAlignment="1">
      <alignment horizontal="left" vertical="center"/>
    </xf>
    <xf numFmtId="1" fontId="20" fillId="0" borderId="0" xfId="0" applyNumberFormat="1" applyFont="1" applyAlignment="1">
      <alignment horizontal="left" vertical="center"/>
    </xf>
    <xf numFmtId="0" fontId="19" fillId="0" borderId="161" xfId="0" applyFont="1" applyBorder="1" applyAlignment="1">
      <alignment horizontal="left" vertical="center"/>
    </xf>
    <xf numFmtId="2" fontId="19" fillId="0" borderId="161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167" fontId="0" fillId="0" borderId="11" xfId="0" applyNumberFormat="1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16" fillId="0" borderId="109" xfId="0" applyFont="1" applyBorder="1" applyAlignment="1">
      <alignment vertical="center"/>
    </xf>
    <xf numFmtId="0" fontId="13" fillId="39" borderId="172" xfId="0" applyFont="1" applyFill="1" applyBorder="1" applyAlignment="1">
      <alignment horizontal="left" vertical="center"/>
    </xf>
    <xf numFmtId="0" fontId="1" fillId="33" borderId="19" xfId="0" applyFont="1" applyFill="1" applyBorder="1" applyAlignment="1">
      <alignment vertical="center"/>
    </xf>
    <xf numFmtId="0" fontId="0" fillId="41" borderId="20" xfId="0" applyFill="1" applyBorder="1" applyAlignment="1">
      <alignment vertical="center"/>
    </xf>
    <xf numFmtId="0" fontId="0" fillId="45" borderId="19" xfId="0" applyFill="1" applyBorder="1" applyAlignment="1">
      <alignment vertical="center"/>
    </xf>
    <xf numFmtId="0" fontId="0" fillId="44" borderId="115" xfId="0" applyFill="1" applyBorder="1" applyAlignment="1">
      <alignment vertical="center"/>
    </xf>
    <xf numFmtId="0" fontId="68" fillId="44" borderId="115" xfId="0" applyFont="1" applyFill="1" applyBorder="1" applyAlignment="1">
      <alignment vertical="center"/>
    </xf>
    <xf numFmtId="0" fontId="0" fillId="0" borderId="164" xfId="0" applyBorder="1" applyAlignment="1">
      <alignment vertical="center"/>
    </xf>
    <xf numFmtId="0" fontId="0" fillId="0" borderId="165" xfId="0" applyBorder="1" applyAlignment="1">
      <alignment vertical="center"/>
    </xf>
    <xf numFmtId="2" fontId="18" fillId="44" borderId="11" xfId="0" applyNumberFormat="1" applyFont="1" applyFill="1" applyBorder="1" applyAlignment="1">
      <alignment horizontal="left"/>
    </xf>
    <xf numFmtId="1" fontId="19" fillId="0" borderId="0" xfId="0" applyNumberFormat="1" applyFont="1" applyAlignment="1">
      <alignment horizontal="left"/>
    </xf>
    <xf numFmtId="0" fontId="0" fillId="0" borderId="13" xfId="0" applyBorder="1" applyAlignment="1">
      <alignment horizontal="left" vertical="center"/>
    </xf>
    <xf numFmtId="0" fontId="0" fillId="44" borderId="13" xfId="0" applyFill="1" applyBorder="1" applyAlignment="1">
      <alignment horizontal="left" vertical="center"/>
    </xf>
    <xf numFmtId="2" fontId="18" fillId="44" borderId="0" xfId="0" applyNumberFormat="1" applyFont="1" applyFill="1" applyAlignment="1">
      <alignment horizontal="left"/>
    </xf>
    <xf numFmtId="165" fontId="0" fillId="44" borderId="13" xfId="0" applyNumberFormat="1" applyFill="1" applyBorder="1" applyAlignment="1">
      <alignment horizontal="left" vertical="center"/>
    </xf>
    <xf numFmtId="1" fontId="19" fillId="0" borderId="11" xfId="0" applyNumberFormat="1" applyFont="1" applyBorder="1" applyAlignment="1">
      <alignment horizontal="left"/>
    </xf>
    <xf numFmtId="167" fontId="19" fillId="0" borderId="11" xfId="0" applyNumberFormat="1" applyFont="1" applyBorder="1" applyAlignment="1">
      <alignment horizontal="left" vertical="center"/>
    </xf>
    <xf numFmtId="2" fontId="19" fillId="0" borderId="11" xfId="42" applyNumberFormat="1" applyFont="1" applyFill="1" applyBorder="1" applyAlignment="1">
      <alignment horizontal="left" vertical="center"/>
    </xf>
    <xf numFmtId="0" fontId="1" fillId="35" borderId="0" xfId="127" applyFont="1" applyFill="1" applyAlignment="1">
      <alignment vertical="center"/>
    </xf>
    <xf numFmtId="0" fontId="1" fillId="46" borderId="0" xfId="127" applyFont="1" applyFill="1" applyAlignment="1">
      <alignment vertical="center"/>
    </xf>
    <xf numFmtId="0" fontId="70" fillId="46" borderId="0" xfId="127" applyFont="1" applyFill="1" applyAlignment="1">
      <alignment vertical="center"/>
    </xf>
    <xf numFmtId="0" fontId="26" fillId="46" borderId="0" xfId="127" applyFont="1" applyFill="1" applyAlignment="1">
      <alignment vertical="center"/>
    </xf>
    <xf numFmtId="0" fontId="1" fillId="34" borderId="0" xfId="127" applyFont="1" applyFill="1" applyAlignment="1">
      <alignment vertical="center"/>
    </xf>
    <xf numFmtId="0" fontId="20" fillId="46" borderId="0" xfId="127" applyFont="1" applyFill="1" applyAlignment="1">
      <alignment vertical="center"/>
    </xf>
    <xf numFmtId="0" fontId="71" fillId="46" borderId="0" xfId="127" applyFont="1" applyFill="1" applyAlignment="1">
      <alignment vertical="center"/>
    </xf>
    <xf numFmtId="0" fontId="25" fillId="35" borderId="0" xfId="127" applyFont="1" applyFill="1" applyAlignment="1">
      <alignment vertical="center"/>
    </xf>
    <xf numFmtId="0" fontId="19" fillId="46" borderId="0" xfId="127" applyFont="1" applyFill="1" applyAlignment="1">
      <alignment vertical="center"/>
    </xf>
    <xf numFmtId="0" fontId="72" fillId="46" borderId="0" xfId="127" applyFont="1" applyFill="1" applyAlignment="1">
      <alignment vertical="center"/>
    </xf>
    <xf numFmtId="0" fontId="19" fillId="35" borderId="0" xfId="127" applyFont="1" applyFill="1" applyAlignment="1">
      <alignment vertical="center"/>
    </xf>
    <xf numFmtId="165" fontId="19" fillId="35" borderId="0" xfId="127" applyNumberFormat="1" applyFont="1" applyFill="1" applyAlignment="1">
      <alignment horizontal="left" vertical="center"/>
    </xf>
    <xf numFmtId="0" fontId="73" fillId="46" borderId="0" xfId="127" applyFont="1" applyFill="1" applyAlignment="1">
      <alignment vertical="center"/>
    </xf>
    <xf numFmtId="0" fontId="33" fillId="35" borderId="0" xfId="127" applyFont="1" applyFill="1" applyAlignment="1">
      <alignment vertical="center"/>
    </xf>
    <xf numFmtId="0" fontId="26" fillId="35" borderId="0" xfId="43" applyFill="1" applyAlignment="1">
      <alignment vertical="center"/>
    </xf>
    <xf numFmtId="1" fontId="19" fillId="0" borderId="0" xfId="0" applyNumberFormat="1" applyFont="1" applyAlignment="1">
      <alignment horizontal="right" vertical="center"/>
    </xf>
    <xf numFmtId="1" fontId="19" fillId="0" borderId="11" xfId="0" applyNumberFormat="1" applyFont="1" applyBorder="1" applyAlignment="1">
      <alignment horizontal="right" vertical="center"/>
    </xf>
    <xf numFmtId="38" fontId="44" fillId="0" borderId="0" xfId="128" applyNumberFormat="1" applyFont="1" applyAlignment="1">
      <alignment horizontal="left" wrapText="1"/>
    </xf>
    <xf numFmtId="38" fontId="45" fillId="0" borderId="36" xfId="128" applyNumberFormat="1" applyFont="1" applyBorder="1" applyAlignment="1">
      <alignment horizontal="center" wrapText="1"/>
    </xf>
    <xf numFmtId="38" fontId="45" fillId="0" borderId="37" xfId="128" applyNumberFormat="1" applyFont="1" applyBorder="1" applyAlignment="1">
      <alignment horizontal="center" textRotation="90" wrapText="1"/>
    </xf>
    <xf numFmtId="38" fontId="45" fillId="0" borderId="38" xfId="128" applyNumberFormat="1" applyFont="1" applyBorder="1" applyAlignment="1">
      <alignment horizontal="center" textRotation="90" wrapText="1"/>
    </xf>
    <xf numFmtId="38" fontId="45" fillId="0" borderId="39" xfId="128" applyNumberFormat="1" applyFont="1" applyBorder="1" applyAlignment="1">
      <alignment horizontal="center" textRotation="90" wrapText="1"/>
    </xf>
    <xf numFmtId="38" fontId="45" fillId="0" borderId="40" xfId="128" applyNumberFormat="1" applyFont="1" applyBorder="1" applyAlignment="1">
      <alignment horizontal="center" textRotation="90" wrapText="1"/>
    </xf>
    <xf numFmtId="38" fontId="45" fillId="0" borderId="41" xfId="128" applyNumberFormat="1" applyFont="1" applyBorder="1" applyAlignment="1">
      <alignment horizontal="center" textRotation="90" wrapText="1"/>
    </xf>
    <xf numFmtId="38" fontId="45" fillId="0" borderId="18" xfId="128" applyNumberFormat="1" applyFont="1" applyBorder="1" applyAlignment="1">
      <alignment horizontal="center" textRotation="90" wrapText="1"/>
    </xf>
    <xf numFmtId="38" fontId="45" fillId="0" borderId="42" xfId="128" applyNumberFormat="1" applyFont="1" applyBorder="1" applyAlignment="1">
      <alignment horizontal="center" textRotation="90" wrapText="1"/>
    </xf>
    <xf numFmtId="38" fontId="45" fillId="0" borderId="43" xfId="128" applyNumberFormat="1" applyFont="1" applyBorder="1" applyAlignment="1">
      <alignment horizontal="center" textRotation="90" wrapText="1"/>
    </xf>
    <xf numFmtId="38" fontId="34" fillId="0" borderId="44" xfId="128" applyNumberFormat="1" applyFont="1" applyBorder="1" applyAlignment="1">
      <alignment horizontal="left"/>
    </xf>
    <xf numFmtId="38" fontId="45" fillId="0" borderId="45" xfId="128" applyNumberFormat="1" applyFont="1" applyBorder="1" applyAlignment="1">
      <alignment horizontal="center"/>
    </xf>
    <xf numFmtId="38" fontId="34" fillId="0" borderId="55" xfId="128" applyNumberFormat="1" applyFont="1" applyBorder="1" applyAlignment="1">
      <alignment horizontal="left"/>
    </xf>
    <xf numFmtId="38" fontId="45" fillId="0" borderId="56" xfId="128" applyNumberFormat="1" applyFont="1" applyBorder="1" applyAlignment="1">
      <alignment horizontal="center"/>
    </xf>
    <xf numFmtId="38" fontId="34" fillId="0" borderId="64" xfId="128" applyNumberFormat="1" applyFont="1" applyBorder="1" applyAlignment="1">
      <alignment horizontal="left"/>
    </xf>
    <xf numFmtId="38" fontId="45" fillId="0" borderId="65" xfId="128" applyNumberFormat="1" applyFont="1" applyBorder="1" applyAlignment="1">
      <alignment horizontal="center"/>
    </xf>
    <xf numFmtId="38" fontId="45" fillId="0" borderId="35" xfId="128" applyNumberFormat="1" applyFont="1" applyBorder="1" applyAlignment="1">
      <alignment horizontal="left"/>
    </xf>
    <xf numFmtId="38" fontId="45" fillId="0" borderId="72" xfId="128" applyNumberFormat="1" applyFont="1" applyBorder="1" applyAlignment="1">
      <alignment horizontal="center"/>
    </xf>
    <xf numFmtId="38" fontId="45" fillId="0" borderId="10" xfId="128" applyNumberFormat="1" applyFont="1" applyBorder="1" applyAlignment="1">
      <alignment horizontal="left"/>
    </xf>
    <xf numFmtId="38" fontId="45" fillId="0" borderId="77" xfId="128" applyNumberFormat="1" applyFont="1" applyBorder="1" applyAlignment="1">
      <alignment horizontal="center"/>
    </xf>
    <xf numFmtId="38" fontId="34" fillId="0" borderId="33" xfId="128" applyNumberFormat="1" applyFont="1" applyBorder="1" applyAlignment="1">
      <alignment horizontal="left"/>
    </xf>
    <xf numFmtId="38" fontId="45" fillId="0" borderId="85" xfId="128" applyNumberFormat="1" applyFont="1" applyBorder="1" applyAlignment="1">
      <alignment horizontal="center"/>
    </xf>
    <xf numFmtId="38" fontId="34" fillId="0" borderId="34" xfId="128" applyNumberFormat="1" applyFont="1" applyBorder="1" applyAlignment="1">
      <alignment horizontal="left"/>
    </xf>
    <xf numFmtId="38" fontId="45" fillId="0" borderId="94" xfId="128" applyNumberFormat="1" applyFont="1" applyBorder="1" applyAlignment="1">
      <alignment horizontal="center"/>
    </xf>
    <xf numFmtId="38" fontId="45" fillId="0" borderId="0" xfId="128" applyNumberFormat="1" applyFont="1" applyAlignment="1">
      <alignment horizontal="left"/>
    </xf>
    <xf numFmtId="38" fontId="45" fillId="0" borderId="36" xfId="128" applyNumberFormat="1" applyFont="1" applyBorder="1" applyAlignment="1">
      <alignment horizontal="center"/>
    </xf>
    <xf numFmtId="38" fontId="45" fillId="0" borderId="0" xfId="128" applyNumberFormat="1" applyFont="1" applyAlignment="1">
      <alignment horizontal="center"/>
    </xf>
    <xf numFmtId="38" fontId="45" fillId="0" borderId="109" xfId="128" applyNumberFormat="1" applyFont="1" applyBorder="1" applyAlignment="1">
      <alignment horizontal="left"/>
    </xf>
    <xf numFmtId="38" fontId="45" fillId="0" borderId="110" xfId="128" applyNumberFormat="1" applyFont="1" applyBorder="1" applyAlignment="1">
      <alignment horizontal="center"/>
    </xf>
    <xf numFmtId="38" fontId="34" fillId="0" borderId="0" xfId="128" applyNumberFormat="1" applyFont="1" applyAlignment="1">
      <alignment horizontal="left"/>
    </xf>
    <xf numFmtId="38" fontId="45" fillId="0" borderId="124" xfId="128" applyNumberFormat="1" applyFont="1" applyBorder="1" applyAlignment="1">
      <alignment horizontal="left"/>
    </xf>
    <xf numFmtId="38" fontId="45" fillId="0" borderId="125" xfId="128" applyNumberFormat="1" applyFont="1" applyBorder="1" applyAlignment="1">
      <alignment horizontal="center"/>
    </xf>
    <xf numFmtId="38" fontId="34" fillId="0" borderId="109" xfId="128" applyNumberFormat="1" applyFont="1" applyBorder="1" applyAlignment="1">
      <alignment horizontal="left"/>
    </xf>
    <xf numFmtId="38" fontId="34" fillId="0" borderId="110" xfId="128" applyNumberFormat="1" applyFont="1" applyBorder="1" applyAlignment="1">
      <alignment horizontal="center"/>
    </xf>
    <xf numFmtId="38" fontId="45" fillId="0" borderId="17" xfId="128" applyNumberFormat="1" applyFont="1" applyBorder="1" applyAlignment="1">
      <alignment horizontal="left"/>
    </xf>
    <xf numFmtId="38" fontId="45" fillId="0" borderId="132" xfId="128" applyNumberFormat="1" applyFont="1" applyBorder="1" applyAlignment="1">
      <alignment horizontal="center"/>
    </xf>
    <xf numFmtId="38" fontId="34" fillId="0" borderId="32" xfId="129" applyNumberFormat="1" applyFont="1" applyBorder="1" applyAlignment="1">
      <alignment horizontal="left" vertical="top" wrapText="1"/>
    </xf>
    <xf numFmtId="38" fontId="34" fillId="0" borderId="139" xfId="129" applyNumberFormat="1" applyFont="1" applyBorder="1" applyAlignment="1">
      <alignment vertical="top"/>
    </xf>
    <xf numFmtId="38" fontId="34" fillId="0" borderId="55" xfId="129" applyNumberFormat="1" applyFont="1" applyBorder="1" applyAlignment="1">
      <alignment horizontal="left" vertical="top" wrapText="1"/>
    </xf>
    <xf numFmtId="38" fontId="34" fillId="0" borderId="56" xfId="129" applyNumberFormat="1" applyFont="1" applyBorder="1" applyAlignment="1">
      <alignment horizontal="left" vertical="top"/>
    </xf>
    <xf numFmtId="38" fontId="34" fillId="0" borderId="56" xfId="129" applyNumberFormat="1" applyFont="1" applyBorder="1" applyAlignment="1">
      <alignment vertical="top"/>
    </xf>
    <xf numFmtId="38" fontId="34" fillId="0" borderId="34" xfId="129" applyNumberFormat="1" applyFont="1" applyBorder="1" applyAlignment="1">
      <alignment horizontal="left" vertical="top" wrapText="1"/>
    </xf>
    <xf numFmtId="38" fontId="34" fillId="0" borderId="94" xfId="129" applyNumberFormat="1" applyFont="1" applyBorder="1" applyAlignment="1">
      <alignment vertical="top"/>
    </xf>
    <xf numFmtId="38" fontId="34" fillId="0" borderId="33" xfId="129" applyNumberFormat="1" applyFont="1" applyBorder="1" applyAlignment="1">
      <alignment horizontal="left" vertical="top" wrapText="1"/>
    </xf>
    <xf numFmtId="38" fontId="45" fillId="0" borderId="139" xfId="128" applyNumberFormat="1" applyFont="1" applyBorder="1" applyAlignment="1">
      <alignment horizontal="center"/>
    </xf>
    <xf numFmtId="38" fontId="45" fillId="0" borderId="161" xfId="128" applyNumberFormat="1" applyFont="1" applyBorder="1" applyAlignment="1">
      <alignment horizontal="left"/>
    </xf>
    <xf numFmtId="38" fontId="45" fillId="0" borderId="30" xfId="128" applyNumberFormat="1" applyFont="1" applyBorder="1" applyAlignment="1">
      <alignment horizontal="center"/>
    </xf>
    <xf numFmtId="38" fontId="34" fillId="0" borderId="56" xfId="128" applyNumberFormat="1" applyFont="1" applyBorder="1" applyAlignment="1">
      <alignment horizontal="left" vertical="top"/>
    </xf>
    <xf numFmtId="38" fontId="34" fillId="0" borderId="94" xfId="128" applyNumberFormat="1" applyFont="1" applyBorder="1" applyAlignment="1">
      <alignment horizontal="left" vertical="top"/>
    </xf>
    <xf numFmtId="38" fontId="34" fillId="0" borderId="85" xfId="128" applyNumberFormat="1" applyFont="1" applyBorder="1" applyAlignment="1">
      <alignment horizontal="left" vertical="top"/>
    </xf>
    <xf numFmtId="38" fontId="34" fillId="0" borderId="32" xfId="128" applyNumberFormat="1" applyFont="1" applyBorder="1" applyAlignment="1">
      <alignment horizontal="left"/>
    </xf>
    <xf numFmtId="38" fontId="34" fillId="0" borderId="139" xfId="128" applyNumberFormat="1" applyFont="1" applyBorder="1" applyAlignment="1">
      <alignment horizontal="left" vertical="top"/>
    </xf>
    <xf numFmtId="38" fontId="45" fillId="0" borderId="34" xfId="129" applyNumberFormat="1" applyFont="1" applyBorder="1" applyAlignment="1">
      <alignment horizontal="left" vertical="top" wrapText="1"/>
    </xf>
    <xf numFmtId="168" fontId="45" fillId="0" borderId="0" xfId="42" applyNumberFormat="1" applyFont="1" applyFill="1" applyBorder="1" applyAlignment="1">
      <alignment horizontal="center"/>
    </xf>
    <xf numFmtId="169" fontId="45" fillId="0" borderId="0" xfId="128" applyNumberFormat="1" applyFont="1" applyAlignment="1">
      <alignment horizontal="left"/>
    </xf>
    <xf numFmtId="169" fontId="34" fillId="42" borderId="0" xfId="128" applyNumberFormat="1" applyFont="1" applyFill="1" applyAlignment="1">
      <alignment horizontal="left"/>
    </xf>
    <xf numFmtId="169" fontId="45" fillId="34" borderId="0" xfId="128" applyNumberFormat="1" applyFont="1" applyFill="1" applyAlignment="1">
      <alignment horizontal="left"/>
    </xf>
    <xf numFmtId="169" fontId="34" fillId="36" borderId="0" xfId="128" applyNumberFormat="1" applyFont="1" applyFill="1" applyAlignment="1">
      <alignment horizontal="left"/>
    </xf>
    <xf numFmtId="169" fontId="34" fillId="34" borderId="0" xfId="128" applyNumberFormat="1" applyFont="1" applyFill="1" applyAlignment="1">
      <alignment horizontal="left"/>
    </xf>
    <xf numFmtId="38" fontId="45" fillId="34" borderId="0" xfId="128" applyNumberFormat="1" applyFont="1" applyFill="1"/>
    <xf numFmtId="38" fontId="34" fillId="0" borderId="0" xfId="128" applyNumberFormat="1" applyFont="1"/>
    <xf numFmtId="38" fontId="45" fillId="0" borderId="0" xfId="128" applyNumberFormat="1" applyFont="1"/>
    <xf numFmtId="40" fontId="34" fillId="0" borderId="0" xfId="128" applyNumberFormat="1" applyFont="1"/>
    <xf numFmtId="40" fontId="45" fillId="0" borderId="0" xfId="128" applyNumberFormat="1" applyFont="1"/>
    <xf numFmtId="9" fontId="0" fillId="0" borderId="0" xfId="0" applyNumberFormat="1" applyAlignment="1">
      <alignment horizontal="center" vertical="center"/>
    </xf>
    <xf numFmtId="9" fontId="0" fillId="0" borderId="0" xfId="42" applyFont="1" applyAlignment="1">
      <alignment horizontal="center" vertical="center"/>
    </xf>
    <xf numFmtId="2" fontId="0" fillId="0" borderId="0" xfId="42" applyNumberFormat="1" applyFont="1" applyAlignment="1">
      <alignment horizontal="center" vertical="center"/>
    </xf>
    <xf numFmtId="2" fontId="14" fillId="44" borderId="0" xfId="0" applyNumberFormat="1" applyFont="1" applyFill="1" applyAlignment="1">
      <alignment horizontal="left" vertical="center"/>
    </xf>
    <xf numFmtId="2" fontId="14" fillId="44" borderId="109" xfId="0" applyNumberFormat="1" applyFont="1" applyFill="1" applyBorder="1" applyAlignment="1">
      <alignment horizontal="left" vertical="center"/>
    </xf>
    <xf numFmtId="2" fontId="14" fillId="44" borderId="11" xfId="0" applyNumberFormat="1" applyFont="1" applyFill="1" applyBorder="1" applyAlignment="1">
      <alignment horizontal="left" vertical="center"/>
    </xf>
    <xf numFmtId="38" fontId="34" fillId="0" borderId="0" xfId="130" applyNumberFormat="1" applyFont="1"/>
    <xf numFmtId="38" fontId="45" fillId="0" borderId="46" xfId="128" applyNumberFormat="1" applyFont="1" applyBorder="1" applyAlignment="1">
      <alignment horizontal="center"/>
    </xf>
    <xf numFmtId="38" fontId="45" fillId="0" borderId="47" xfId="128" applyNumberFormat="1" applyFont="1" applyBorder="1" applyAlignment="1">
      <alignment horizontal="center"/>
    </xf>
    <xf numFmtId="38" fontId="45" fillId="0" borderId="48" xfId="128" applyNumberFormat="1" applyFont="1" applyBorder="1" applyAlignment="1">
      <alignment horizontal="center"/>
    </xf>
    <xf numFmtId="38" fontId="34" fillId="0" borderId="49" xfId="128" applyNumberFormat="1" applyFont="1" applyBorder="1" applyAlignment="1">
      <alignment horizontal="center"/>
    </xf>
    <xf numFmtId="38" fontId="45" fillId="0" borderId="50" xfId="128" applyNumberFormat="1" applyFont="1" applyBorder="1" applyAlignment="1">
      <alignment horizontal="center"/>
    </xf>
    <xf numFmtId="38" fontId="34" fillId="0" borderId="47" xfId="128" applyNumberFormat="1" applyFont="1" applyBorder="1" applyAlignment="1">
      <alignment horizontal="center"/>
    </xf>
    <xf numFmtId="38" fontId="34" fillId="43" borderId="48" xfId="128" applyNumberFormat="1" applyFont="1" applyFill="1" applyBorder="1" applyAlignment="1">
      <alignment horizontal="center"/>
    </xf>
    <xf numFmtId="38" fontId="34" fillId="0" borderId="48" xfId="128" applyNumberFormat="1" applyFont="1" applyBorder="1" applyAlignment="1">
      <alignment horizontal="center"/>
    </xf>
    <xf numFmtId="38" fontId="34" fillId="0" borderId="51" xfId="128" applyNumberFormat="1" applyFont="1" applyBorder="1" applyAlignment="1">
      <alignment horizontal="center"/>
    </xf>
    <xf numFmtId="38" fontId="34" fillId="0" borderId="52" xfId="128" applyNumberFormat="1" applyFont="1" applyBorder="1" applyAlignment="1">
      <alignment horizontal="center"/>
    </xf>
    <xf numFmtId="38" fontId="45" fillId="0" borderId="44" xfId="128" applyNumberFormat="1" applyFont="1" applyBorder="1" applyAlignment="1">
      <alignment horizontal="center"/>
    </xf>
    <xf numFmtId="38" fontId="34" fillId="0" borderId="53" xfId="128" applyNumberFormat="1" applyFont="1" applyBorder="1" applyAlignment="1">
      <alignment horizontal="center"/>
    </xf>
    <xf numFmtId="38" fontId="34" fillId="0" borderId="50" xfId="128" applyNumberFormat="1" applyFont="1" applyBorder="1" applyAlignment="1">
      <alignment horizontal="center"/>
    </xf>
    <xf numFmtId="38" fontId="34" fillId="0" borderId="54" xfId="128" applyNumberFormat="1" applyFont="1" applyBorder="1" applyAlignment="1">
      <alignment horizontal="center"/>
    </xf>
    <xf numFmtId="38" fontId="45" fillId="0" borderId="57" xfId="128" applyNumberFormat="1" applyFont="1" applyBorder="1" applyAlignment="1">
      <alignment horizontal="center"/>
    </xf>
    <xf numFmtId="38" fontId="45" fillId="0" borderId="58" xfId="128" applyNumberFormat="1" applyFont="1" applyBorder="1" applyAlignment="1">
      <alignment horizontal="center"/>
    </xf>
    <xf numFmtId="38" fontId="45" fillId="0" borderId="59" xfId="128" applyNumberFormat="1" applyFont="1" applyBorder="1" applyAlignment="1">
      <alignment horizontal="center"/>
    </xf>
    <xf numFmtId="38" fontId="34" fillId="0" borderId="59" xfId="128" applyNumberFormat="1" applyFont="1" applyBorder="1" applyAlignment="1">
      <alignment horizontal="center"/>
    </xf>
    <xf numFmtId="38" fontId="45" fillId="0" borderId="60" xfId="128" applyNumberFormat="1" applyFont="1" applyBorder="1" applyAlignment="1">
      <alignment horizontal="center"/>
    </xf>
    <xf numFmtId="38" fontId="34" fillId="0" borderId="58" xfId="128" applyNumberFormat="1" applyFont="1" applyBorder="1" applyAlignment="1">
      <alignment horizontal="center"/>
    </xf>
    <xf numFmtId="38" fontId="34" fillId="43" borderId="61" xfId="128" applyNumberFormat="1" applyFont="1" applyFill="1" applyBorder="1" applyAlignment="1">
      <alignment horizontal="center"/>
    </xf>
    <xf numFmtId="38" fontId="34" fillId="0" borderId="61" xfId="128" applyNumberFormat="1" applyFont="1" applyBorder="1" applyAlignment="1">
      <alignment horizontal="center"/>
    </xf>
    <xf numFmtId="38" fontId="45" fillId="0" borderId="55" xfId="128" applyNumberFormat="1" applyFont="1" applyBorder="1" applyAlignment="1">
      <alignment horizontal="center"/>
    </xf>
    <xf numFmtId="38" fontId="34" fillId="0" borderId="62" xfId="128" applyNumberFormat="1" applyFont="1" applyBorder="1" applyAlignment="1">
      <alignment horizontal="center"/>
    </xf>
    <xf numFmtId="38" fontId="34" fillId="0" borderId="60" xfId="128" applyNumberFormat="1" applyFont="1" applyBorder="1" applyAlignment="1">
      <alignment horizontal="center"/>
    </xf>
    <xf numFmtId="38" fontId="34" fillId="0" borderId="63" xfId="128" applyNumberFormat="1" applyFont="1" applyBorder="1" applyAlignment="1">
      <alignment horizontal="center"/>
    </xf>
    <xf numFmtId="38" fontId="45" fillId="0" borderId="61" xfId="128" applyNumberFormat="1" applyFont="1" applyBorder="1" applyAlignment="1">
      <alignment horizontal="center"/>
    </xf>
    <xf numFmtId="38" fontId="45" fillId="0" borderId="66" xfId="128" applyNumberFormat="1" applyFont="1" applyBorder="1" applyAlignment="1">
      <alignment horizontal="center"/>
    </xf>
    <xf numFmtId="38" fontId="34" fillId="0" borderId="67" xfId="128" applyNumberFormat="1" applyFont="1" applyBorder="1" applyAlignment="1">
      <alignment horizontal="center"/>
    </xf>
    <xf numFmtId="38" fontId="45" fillId="0" borderId="68" xfId="128" applyNumberFormat="1" applyFont="1" applyBorder="1" applyAlignment="1">
      <alignment horizontal="center"/>
    </xf>
    <xf numFmtId="38" fontId="34" fillId="0" borderId="66" xfId="128" applyNumberFormat="1" applyFont="1" applyBorder="1" applyAlignment="1">
      <alignment horizontal="center"/>
    </xf>
    <xf numFmtId="38" fontId="34" fillId="43" borderId="66" xfId="128" applyNumberFormat="1" applyFont="1" applyFill="1" applyBorder="1" applyAlignment="1">
      <alignment horizontal="center"/>
    </xf>
    <xf numFmtId="38" fontId="45" fillId="0" borderId="64" xfId="128" applyNumberFormat="1" applyFont="1" applyBorder="1" applyAlignment="1">
      <alignment horizontal="center"/>
    </xf>
    <xf numFmtId="38" fontId="34" fillId="0" borderId="69" xfId="128" applyNumberFormat="1" applyFont="1" applyBorder="1" applyAlignment="1">
      <alignment horizontal="center"/>
    </xf>
    <xf numFmtId="38" fontId="34" fillId="0" borderId="70" xfId="128" applyNumberFormat="1" applyFont="1" applyBorder="1" applyAlignment="1">
      <alignment horizontal="center"/>
    </xf>
    <xf numFmtId="38" fontId="34" fillId="0" borderId="68" xfId="128" applyNumberFormat="1" applyFont="1" applyBorder="1" applyAlignment="1">
      <alignment horizontal="center"/>
    </xf>
    <xf numFmtId="38" fontId="34" fillId="0" borderId="71" xfId="128" applyNumberFormat="1" applyFont="1" applyBorder="1" applyAlignment="1">
      <alignment horizontal="center"/>
    </xf>
    <xf numFmtId="38" fontId="45" fillId="0" borderId="73" xfId="128" applyNumberFormat="1" applyFont="1" applyBorder="1" applyAlignment="1">
      <alignment horizontal="center"/>
    </xf>
    <xf numFmtId="38" fontId="45" fillId="0" borderId="35" xfId="128" applyNumberFormat="1" applyFont="1" applyBorder="1" applyAlignment="1">
      <alignment horizontal="center"/>
    </xf>
    <xf numFmtId="38" fontId="45" fillId="0" borderId="52" xfId="128" applyNumberFormat="1" applyFont="1" applyBorder="1" applyAlignment="1">
      <alignment horizontal="center"/>
    </xf>
    <xf numFmtId="38" fontId="45" fillId="0" borderId="74" xfId="128" applyNumberFormat="1" applyFont="1" applyBorder="1" applyAlignment="1">
      <alignment horizontal="center"/>
    </xf>
    <xf numFmtId="38" fontId="45" fillId="43" borderId="52" xfId="128" applyNumberFormat="1" applyFont="1" applyFill="1" applyBorder="1" applyAlignment="1">
      <alignment horizontal="center"/>
    </xf>
    <xf numFmtId="38" fontId="45" fillId="0" borderId="51" xfId="128" applyNumberFormat="1" applyFont="1" applyBorder="1" applyAlignment="1">
      <alignment horizontal="center"/>
    </xf>
    <xf numFmtId="38" fontId="45" fillId="0" borderId="75" xfId="128" applyNumberFormat="1" applyFont="1" applyBorder="1" applyAlignment="1">
      <alignment horizontal="center"/>
    </xf>
    <xf numFmtId="38" fontId="45" fillId="0" borderId="76" xfId="128" applyNumberFormat="1" applyFont="1" applyBorder="1" applyAlignment="1">
      <alignment horizontal="center"/>
    </xf>
    <xf numFmtId="38" fontId="45" fillId="0" borderId="15" xfId="128" applyNumberFormat="1" applyFont="1" applyBorder="1" applyAlignment="1">
      <alignment horizontal="center"/>
    </xf>
    <xf numFmtId="38" fontId="45" fillId="0" borderId="10" xfId="128" applyNumberFormat="1" applyFont="1" applyBorder="1" applyAlignment="1">
      <alignment horizontal="center"/>
    </xf>
    <xf numFmtId="38" fontId="45" fillId="0" borderId="78" xfId="128" applyNumberFormat="1" applyFont="1" applyBorder="1" applyAlignment="1">
      <alignment horizontal="center"/>
    </xf>
    <xf numFmtId="38" fontId="45" fillId="0" borderId="79" xfId="128" applyNumberFormat="1" applyFont="1" applyBorder="1" applyAlignment="1">
      <alignment horizontal="center"/>
    </xf>
    <xf numFmtId="38" fontId="45" fillId="0" borderId="16" xfId="128" applyNumberFormat="1" applyFont="1" applyBorder="1" applyAlignment="1">
      <alignment horizontal="center"/>
    </xf>
    <xf numFmtId="38" fontId="45" fillId="43" borderId="78" xfId="128" applyNumberFormat="1" applyFont="1" applyFill="1" applyBorder="1" applyAlignment="1">
      <alignment horizontal="center"/>
    </xf>
    <xf numFmtId="38" fontId="34" fillId="0" borderId="16" xfId="128" applyNumberFormat="1" applyFont="1" applyBorder="1" applyAlignment="1">
      <alignment horizontal="center"/>
    </xf>
    <xf numFmtId="38" fontId="45" fillId="0" borderId="80" xfId="128" applyNumberFormat="1" applyFont="1" applyBorder="1" applyAlignment="1">
      <alignment horizontal="center"/>
    </xf>
    <xf numFmtId="38" fontId="45" fillId="0" borderId="81" xfId="128" applyNumberFormat="1" applyFont="1" applyBorder="1" applyAlignment="1">
      <alignment horizontal="center"/>
    </xf>
    <xf numFmtId="38" fontId="45" fillId="0" borderId="82" xfId="128" applyNumberFormat="1" applyFont="1" applyBorder="1" applyAlignment="1">
      <alignment horizontal="center"/>
    </xf>
    <xf numFmtId="38" fontId="45" fillId="0" borderId="83" xfId="128" applyNumberFormat="1" applyFont="1" applyBorder="1" applyAlignment="1">
      <alignment horizontal="center"/>
    </xf>
    <xf numFmtId="38" fontId="45" fillId="0" borderId="84" xfId="128" applyNumberFormat="1" applyFont="1" applyBorder="1" applyAlignment="1">
      <alignment horizontal="center"/>
    </xf>
    <xf numFmtId="38" fontId="45" fillId="0" borderId="86" xfId="128" applyNumberFormat="1" applyFont="1" applyBorder="1" applyAlignment="1">
      <alignment horizontal="center"/>
    </xf>
    <xf numFmtId="38" fontId="34" fillId="0" borderId="87" xfId="128" applyNumberFormat="1" applyFont="1" applyBorder="1" applyAlignment="1">
      <alignment horizontal="center"/>
    </xf>
    <xf numFmtId="38" fontId="34" fillId="0" borderId="88" xfId="128" applyNumberFormat="1" applyFont="1" applyBorder="1" applyAlignment="1">
      <alignment horizontal="center"/>
    </xf>
    <xf numFmtId="38" fontId="34" fillId="0" borderId="89" xfId="128" applyNumberFormat="1" applyFont="1" applyBorder="1" applyAlignment="1">
      <alignment horizontal="center"/>
    </xf>
    <xf numFmtId="38" fontId="45" fillId="0" borderId="90" xfId="128" applyNumberFormat="1" applyFont="1" applyBorder="1" applyAlignment="1">
      <alignment horizontal="center"/>
    </xf>
    <xf numFmtId="38" fontId="34" fillId="43" borderId="88" xfId="128" applyNumberFormat="1" applyFont="1" applyFill="1" applyBorder="1" applyAlignment="1">
      <alignment horizontal="center"/>
    </xf>
    <xf numFmtId="38" fontId="45" fillId="0" borderId="33" xfId="128" applyNumberFormat="1" applyFont="1" applyBorder="1" applyAlignment="1">
      <alignment horizontal="center"/>
    </xf>
    <xf numFmtId="38" fontId="34" fillId="0" borderId="91" xfId="128" applyNumberFormat="1" applyFont="1" applyBorder="1" applyAlignment="1">
      <alignment horizontal="center"/>
    </xf>
    <xf numFmtId="38" fontId="34" fillId="0" borderId="90" xfId="128" applyNumberFormat="1" applyFont="1" applyBorder="1" applyAlignment="1">
      <alignment horizontal="center"/>
    </xf>
    <xf numFmtId="38" fontId="34" fillId="0" borderId="92" xfId="128" applyNumberFormat="1" applyFont="1" applyBorder="1" applyAlignment="1">
      <alignment horizontal="center"/>
    </xf>
    <xf numFmtId="38" fontId="34" fillId="0" borderId="93" xfId="128" applyNumberFormat="1" applyFont="1" applyBorder="1" applyAlignment="1">
      <alignment horizontal="center"/>
    </xf>
    <xf numFmtId="38" fontId="45" fillId="0" borderId="95" xfId="128" applyNumberFormat="1" applyFont="1" applyBorder="1" applyAlignment="1">
      <alignment horizontal="center"/>
    </xf>
    <xf numFmtId="38" fontId="34" fillId="0" borderId="96" xfId="128" applyNumberFormat="1" applyFont="1" applyBorder="1" applyAlignment="1">
      <alignment horizontal="center"/>
    </xf>
    <xf numFmtId="38" fontId="34" fillId="0" borderId="97" xfId="128" applyNumberFormat="1" applyFont="1" applyBorder="1" applyAlignment="1">
      <alignment horizontal="center"/>
    </xf>
    <xf numFmtId="38" fontId="34" fillId="0" borderId="98" xfId="128" applyNumberFormat="1" applyFont="1" applyBorder="1" applyAlignment="1">
      <alignment horizontal="center"/>
    </xf>
    <xf numFmtId="38" fontId="45" fillId="0" borderId="99" xfId="128" applyNumberFormat="1" applyFont="1" applyBorder="1" applyAlignment="1">
      <alignment horizontal="center"/>
    </xf>
    <xf numFmtId="38" fontId="34" fillId="43" borderId="97" xfId="128" applyNumberFormat="1" applyFont="1" applyFill="1" applyBorder="1" applyAlignment="1">
      <alignment horizontal="center"/>
    </xf>
    <xf numFmtId="38" fontId="45" fillId="0" borderId="34" xfId="128" applyNumberFormat="1" applyFont="1" applyBorder="1" applyAlignment="1">
      <alignment horizontal="center"/>
    </xf>
    <xf numFmtId="38" fontId="34" fillId="0" borderId="100" xfId="128" applyNumberFormat="1" applyFont="1" applyBorder="1" applyAlignment="1">
      <alignment horizontal="center"/>
    </xf>
    <xf numFmtId="38" fontId="34" fillId="0" borderId="99" xfId="128" applyNumberFormat="1" applyFont="1" applyBorder="1" applyAlignment="1">
      <alignment horizontal="center"/>
    </xf>
    <xf numFmtId="38" fontId="34" fillId="0" borderId="101" xfId="128" applyNumberFormat="1" applyFont="1" applyBorder="1" applyAlignment="1">
      <alignment horizontal="center"/>
    </xf>
    <xf numFmtId="38" fontId="45" fillId="0" borderId="102" xfId="128" applyNumberFormat="1" applyFont="1" applyBorder="1" applyAlignment="1">
      <alignment horizontal="center"/>
    </xf>
    <xf numFmtId="38" fontId="45" fillId="0" borderId="103" xfId="128" applyNumberFormat="1" applyFont="1" applyBorder="1" applyAlignment="1">
      <alignment horizontal="center"/>
    </xf>
    <xf numFmtId="38" fontId="45" fillId="0" borderId="104" xfId="128" applyNumberFormat="1" applyFont="1" applyBorder="1" applyAlignment="1">
      <alignment horizontal="center"/>
    </xf>
    <xf numFmtId="38" fontId="45" fillId="0" borderId="105" xfId="128" applyNumberFormat="1" applyFont="1" applyBorder="1" applyAlignment="1">
      <alignment horizontal="center"/>
    </xf>
    <xf numFmtId="38" fontId="45" fillId="0" borderId="21" xfId="128" applyNumberFormat="1" applyFont="1" applyBorder="1" applyAlignment="1">
      <alignment horizontal="center"/>
    </xf>
    <xf numFmtId="38" fontId="45" fillId="43" borderId="104" xfId="128" applyNumberFormat="1" applyFont="1" applyFill="1" applyBorder="1" applyAlignment="1">
      <alignment horizontal="center"/>
    </xf>
    <xf numFmtId="38" fontId="45" fillId="0" borderId="27" xfId="128" applyNumberFormat="1" applyFont="1" applyBorder="1" applyAlignment="1">
      <alignment horizontal="center"/>
    </xf>
    <xf numFmtId="38" fontId="45" fillId="0" borderId="106" xfId="128" applyNumberFormat="1" applyFont="1" applyBorder="1" applyAlignment="1">
      <alignment horizontal="center"/>
    </xf>
    <xf numFmtId="38" fontId="45" fillId="0" borderId="107" xfId="128" applyNumberFormat="1" applyFont="1" applyBorder="1" applyAlignment="1">
      <alignment horizontal="center"/>
    </xf>
    <xf numFmtId="38" fontId="34" fillId="0" borderId="108" xfId="128" applyNumberFormat="1" applyFont="1" applyBorder="1" applyAlignment="1">
      <alignment horizontal="center"/>
    </xf>
    <xf numFmtId="1" fontId="34" fillId="0" borderId="60" xfId="128" applyNumberFormat="1" applyFont="1" applyBorder="1" applyAlignment="1">
      <alignment horizontal="center"/>
    </xf>
    <xf numFmtId="38" fontId="45" fillId="0" borderId="111" xfId="128" applyNumberFormat="1" applyFont="1" applyBorder="1" applyAlignment="1">
      <alignment horizontal="center"/>
    </xf>
    <xf numFmtId="38" fontId="34" fillId="0" borderId="112" xfId="128" applyNumberFormat="1" applyFont="1" applyBorder="1" applyAlignment="1">
      <alignment horizontal="center"/>
    </xf>
    <xf numFmtId="38" fontId="34" fillId="0" borderId="113" xfId="128" applyNumberFormat="1" applyFont="1" applyBorder="1" applyAlignment="1">
      <alignment horizontal="center"/>
    </xf>
    <xf numFmtId="38" fontId="34" fillId="0" borderId="114" xfId="128" applyNumberFormat="1" applyFont="1" applyBorder="1" applyAlignment="1">
      <alignment horizontal="center"/>
    </xf>
    <xf numFmtId="38" fontId="45" fillId="0" borderId="115" xfId="128" applyNumberFormat="1" applyFont="1" applyBorder="1" applyAlignment="1">
      <alignment horizontal="center"/>
    </xf>
    <xf numFmtId="38" fontId="45" fillId="0" borderId="109" xfId="128" applyNumberFormat="1" applyFont="1" applyBorder="1" applyAlignment="1">
      <alignment horizontal="center"/>
    </xf>
    <xf numFmtId="38" fontId="34" fillId="0" borderId="116" xfId="128" applyNumberFormat="1" applyFont="1" applyBorder="1" applyAlignment="1">
      <alignment horizontal="center"/>
    </xf>
    <xf numFmtId="38" fontId="34" fillId="0" borderId="106" xfId="128" applyNumberFormat="1" applyFont="1" applyBorder="1" applyAlignment="1">
      <alignment horizontal="center"/>
    </xf>
    <xf numFmtId="38" fontId="34" fillId="0" borderId="115" xfId="128" applyNumberFormat="1" applyFont="1" applyBorder="1" applyAlignment="1">
      <alignment horizontal="center"/>
    </xf>
    <xf numFmtId="38" fontId="34" fillId="0" borderId="117" xfId="128" applyNumberFormat="1" applyFont="1" applyBorder="1" applyAlignment="1">
      <alignment horizontal="center"/>
    </xf>
    <xf numFmtId="38" fontId="45" fillId="0" borderId="118" xfId="128" applyNumberFormat="1" applyFont="1" applyBorder="1" applyAlignment="1">
      <alignment horizontal="center"/>
    </xf>
    <xf numFmtId="38" fontId="34" fillId="0" borderId="119" xfId="128" applyNumberFormat="1" applyFont="1" applyBorder="1" applyAlignment="1">
      <alignment horizontal="center"/>
    </xf>
    <xf numFmtId="38" fontId="45" fillId="0" borderId="88" xfId="128" applyNumberFormat="1" applyFont="1" applyBorder="1" applyAlignment="1">
      <alignment horizontal="center"/>
    </xf>
    <xf numFmtId="38" fontId="34" fillId="0" borderId="33" xfId="128" applyNumberFormat="1" applyFont="1" applyBorder="1" applyAlignment="1">
      <alignment horizontal="center"/>
    </xf>
    <xf numFmtId="38" fontId="45" fillId="0" borderId="120" xfId="128" applyNumberFormat="1" applyFont="1" applyBorder="1" applyAlignment="1">
      <alignment horizontal="center"/>
    </xf>
    <xf numFmtId="38" fontId="45" fillId="0" borderId="121" xfId="128" applyNumberFormat="1" applyFont="1" applyBorder="1" applyAlignment="1">
      <alignment horizontal="center"/>
    </xf>
    <xf numFmtId="38" fontId="34" fillId="0" borderId="105" xfId="128" applyNumberFormat="1" applyFont="1" applyBorder="1" applyAlignment="1">
      <alignment horizontal="center"/>
    </xf>
    <xf numFmtId="38" fontId="34" fillId="0" borderId="104" xfId="128" applyNumberFormat="1" applyFont="1" applyBorder="1" applyAlignment="1">
      <alignment horizontal="center"/>
    </xf>
    <xf numFmtId="38" fontId="34" fillId="0" borderId="27" xfId="128" applyNumberFormat="1" applyFont="1" applyBorder="1" applyAlignment="1">
      <alignment horizontal="center"/>
    </xf>
    <xf numFmtId="38" fontId="34" fillId="0" borderId="103" xfId="128" applyNumberFormat="1" applyFont="1" applyBorder="1" applyAlignment="1">
      <alignment horizontal="center"/>
    </xf>
    <xf numFmtId="38" fontId="34" fillId="0" borderId="21" xfId="128" applyNumberFormat="1" applyFont="1" applyBorder="1" applyAlignment="1">
      <alignment horizontal="center"/>
    </xf>
    <xf numFmtId="38" fontId="34" fillId="0" borderId="107" xfId="128" applyNumberFormat="1" applyFont="1" applyBorder="1" applyAlignment="1">
      <alignment horizontal="center"/>
    </xf>
    <xf numFmtId="38" fontId="45" fillId="0" borderId="122" xfId="128" applyNumberFormat="1" applyFont="1" applyBorder="1" applyAlignment="1">
      <alignment horizontal="center"/>
    </xf>
    <xf numFmtId="38" fontId="34" fillId="0" borderId="123" xfId="128" applyNumberFormat="1" applyFont="1" applyBorder="1" applyAlignment="1">
      <alignment horizontal="center"/>
    </xf>
    <xf numFmtId="38" fontId="34" fillId="0" borderId="64" xfId="128" applyNumberFormat="1" applyFont="1" applyBorder="1" applyAlignment="1">
      <alignment horizontal="center"/>
    </xf>
    <xf numFmtId="38" fontId="34" fillId="43" borderId="104" xfId="128" applyNumberFormat="1" applyFont="1" applyFill="1" applyBorder="1" applyAlignment="1">
      <alignment horizontal="center"/>
    </xf>
    <xf numFmtId="38" fontId="45" fillId="0" borderId="126" xfId="128" applyNumberFormat="1" applyFont="1" applyBorder="1" applyAlignment="1">
      <alignment horizontal="center"/>
    </xf>
    <xf numFmtId="38" fontId="45" fillId="0" borderId="127" xfId="128" applyNumberFormat="1" applyFont="1" applyBorder="1" applyAlignment="1">
      <alignment horizontal="center"/>
    </xf>
    <xf numFmtId="38" fontId="45" fillId="0" borderId="128" xfId="128" applyNumberFormat="1" applyFont="1" applyBorder="1" applyAlignment="1">
      <alignment horizontal="center"/>
    </xf>
    <xf numFmtId="38" fontId="45" fillId="0" borderId="129" xfId="128" applyNumberFormat="1" applyFont="1" applyBorder="1" applyAlignment="1">
      <alignment horizontal="center"/>
    </xf>
    <xf numFmtId="38" fontId="45" fillId="43" borderId="128" xfId="128" applyNumberFormat="1" applyFont="1" applyFill="1" applyBorder="1" applyAlignment="1">
      <alignment horizontal="center"/>
    </xf>
    <xf numFmtId="38" fontId="45" fillId="0" borderId="124" xfId="128" applyNumberFormat="1" applyFont="1" applyBorder="1" applyAlignment="1">
      <alignment horizontal="center"/>
    </xf>
    <xf numFmtId="38" fontId="45" fillId="0" borderId="130" xfId="128" applyNumberFormat="1" applyFont="1" applyBorder="1" applyAlignment="1">
      <alignment horizontal="center"/>
    </xf>
    <xf numFmtId="38" fontId="45" fillId="0" borderId="131" xfId="128" applyNumberFormat="1" applyFont="1" applyBorder="1" applyAlignment="1">
      <alignment horizontal="center"/>
    </xf>
    <xf numFmtId="38" fontId="34" fillId="0" borderId="111" xfId="128" applyNumberFormat="1" applyFont="1" applyBorder="1" applyAlignment="1">
      <alignment horizontal="center"/>
    </xf>
    <xf numFmtId="38" fontId="34" fillId="43" borderId="113" xfId="128" applyNumberFormat="1" applyFont="1" applyFill="1" applyBorder="1" applyAlignment="1">
      <alignment horizontal="center"/>
    </xf>
    <xf numFmtId="38" fontId="34" fillId="0" borderId="109" xfId="128" applyNumberFormat="1" applyFont="1" applyBorder="1" applyAlignment="1">
      <alignment horizontal="center"/>
    </xf>
    <xf numFmtId="38" fontId="45" fillId="43" borderId="51" xfId="128" applyNumberFormat="1" applyFont="1" applyFill="1" applyBorder="1" applyAlignment="1">
      <alignment horizontal="center"/>
    </xf>
    <xf numFmtId="38" fontId="45" fillId="0" borderId="133" xfId="128" applyNumberFormat="1" applyFont="1" applyBorder="1" applyAlignment="1">
      <alignment horizontal="center"/>
    </xf>
    <xf numFmtId="38" fontId="45" fillId="0" borderId="134" xfId="128" applyNumberFormat="1" applyFont="1" applyBorder="1" applyAlignment="1">
      <alignment horizontal="center"/>
    </xf>
    <xf numFmtId="38" fontId="45" fillId="0" borderId="135" xfId="128" applyNumberFormat="1" applyFont="1" applyBorder="1" applyAlignment="1">
      <alignment horizontal="center"/>
    </xf>
    <xf numFmtId="38" fontId="45" fillId="0" borderId="28" xfId="128" applyNumberFormat="1" applyFont="1" applyBorder="1" applyAlignment="1">
      <alignment horizontal="center"/>
    </xf>
    <xf numFmtId="38" fontId="45" fillId="0" borderId="136" xfId="128" applyNumberFormat="1" applyFont="1" applyBorder="1" applyAlignment="1">
      <alignment horizontal="center"/>
    </xf>
    <xf numFmtId="38" fontId="45" fillId="0" borderId="17" xfId="128" applyNumberFormat="1" applyFont="1" applyBorder="1" applyAlignment="1">
      <alignment horizontal="center"/>
    </xf>
    <xf numFmtId="38" fontId="45" fillId="0" borderId="137" xfId="128" applyNumberFormat="1" applyFont="1" applyBorder="1" applyAlignment="1">
      <alignment horizontal="center"/>
    </xf>
    <xf numFmtId="38" fontId="45" fillId="0" borderId="138" xfId="128" applyNumberFormat="1" applyFont="1" applyBorder="1" applyAlignment="1">
      <alignment horizontal="center"/>
    </xf>
    <xf numFmtId="38" fontId="45" fillId="0" borderId="140" xfId="128" applyNumberFormat="1" applyFont="1" applyBorder="1" applyAlignment="1">
      <alignment horizontal="center"/>
    </xf>
    <xf numFmtId="38" fontId="34" fillId="0" borderId="32" xfId="128" applyNumberFormat="1" applyFont="1" applyBorder="1" applyAlignment="1">
      <alignment horizontal="center"/>
    </xf>
    <xf numFmtId="38" fontId="34" fillId="0" borderId="141" xfId="128" applyNumberFormat="1" applyFont="1" applyBorder="1" applyAlignment="1">
      <alignment horizontal="center"/>
    </xf>
    <xf numFmtId="38" fontId="45" fillId="0" borderId="142" xfId="128" applyNumberFormat="1" applyFont="1" applyBorder="1" applyAlignment="1">
      <alignment horizontal="center"/>
    </xf>
    <xf numFmtId="38" fontId="34" fillId="0" borderId="143" xfId="128" applyNumberFormat="1" applyFont="1" applyBorder="1" applyAlignment="1">
      <alignment horizontal="center"/>
    </xf>
    <xf numFmtId="38" fontId="34" fillId="43" borderId="93" xfId="128" applyNumberFormat="1" applyFont="1" applyFill="1" applyBorder="1" applyAlignment="1">
      <alignment horizontal="center"/>
    </xf>
    <xf numFmtId="38" fontId="34" fillId="0" borderId="144" xfId="128" applyNumberFormat="1" applyFont="1" applyBorder="1" applyAlignment="1">
      <alignment horizontal="center"/>
    </xf>
    <xf numFmtId="38" fontId="45" fillId="0" borderId="32" xfId="128" applyNumberFormat="1" applyFont="1" applyBorder="1" applyAlignment="1">
      <alignment horizontal="center"/>
    </xf>
    <xf numFmtId="38" fontId="34" fillId="0" borderId="145" xfId="128" applyNumberFormat="1" applyFont="1" applyBorder="1" applyAlignment="1">
      <alignment horizontal="center"/>
    </xf>
    <xf numFmtId="38" fontId="34" fillId="0" borderId="55" xfId="128" applyNumberFormat="1" applyFont="1" applyBorder="1" applyAlignment="1">
      <alignment horizontal="center"/>
    </xf>
    <xf numFmtId="38" fontId="34" fillId="0" borderId="146" xfId="128" applyNumberFormat="1" applyFont="1" applyBorder="1" applyAlignment="1">
      <alignment horizontal="center"/>
    </xf>
    <xf numFmtId="38" fontId="34" fillId="0" borderId="142" xfId="128" applyNumberFormat="1" applyFont="1" applyBorder="1" applyAlignment="1">
      <alignment horizontal="center"/>
    </xf>
    <xf numFmtId="38" fontId="34" fillId="0" borderId="34" xfId="128" applyNumberFormat="1" applyFont="1" applyBorder="1" applyAlignment="1">
      <alignment horizontal="center"/>
    </xf>
    <xf numFmtId="38" fontId="34" fillId="0" borderId="147" xfId="128" applyNumberFormat="1" applyFont="1" applyBorder="1" applyAlignment="1">
      <alignment horizontal="center"/>
    </xf>
    <xf numFmtId="38" fontId="45" fillId="0" borderId="148" xfId="128" applyNumberFormat="1" applyFont="1" applyBorder="1" applyAlignment="1">
      <alignment horizontal="center"/>
    </xf>
    <xf numFmtId="38" fontId="45" fillId="0" borderId="149" xfId="128" applyNumberFormat="1" applyFont="1" applyBorder="1" applyAlignment="1">
      <alignment horizontal="center"/>
    </xf>
    <xf numFmtId="38" fontId="45" fillId="0" borderId="150" xfId="128" applyNumberFormat="1" applyFont="1" applyBorder="1" applyAlignment="1">
      <alignment horizontal="center"/>
    </xf>
    <xf numFmtId="38" fontId="45" fillId="0" borderId="19" xfId="128" applyNumberFormat="1" applyFont="1" applyBorder="1" applyAlignment="1">
      <alignment horizontal="center"/>
    </xf>
    <xf numFmtId="38" fontId="45" fillId="0" borderId="151" xfId="128" applyNumberFormat="1" applyFont="1" applyBorder="1" applyAlignment="1">
      <alignment horizontal="center"/>
    </xf>
    <xf numFmtId="38" fontId="45" fillId="43" borderId="149" xfId="128" applyNumberFormat="1" applyFont="1" applyFill="1" applyBorder="1" applyAlignment="1">
      <alignment horizontal="center"/>
    </xf>
    <xf numFmtId="38" fontId="45" fillId="0" borderId="11" xfId="128" applyNumberFormat="1" applyFont="1" applyBorder="1" applyAlignment="1">
      <alignment horizontal="center"/>
    </xf>
    <xf numFmtId="38" fontId="45" fillId="0" borderId="24" xfId="128" applyNumberFormat="1" applyFont="1" applyBorder="1" applyAlignment="1">
      <alignment horizontal="center"/>
    </xf>
    <xf numFmtId="38" fontId="45" fillId="0" borderId="152" xfId="128" applyNumberFormat="1" applyFont="1" applyBorder="1" applyAlignment="1">
      <alignment horizontal="center"/>
    </xf>
    <xf numFmtId="38" fontId="45" fillId="0" borderId="87" xfId="128" applyNumberFormat="1" applyFont="1" applyBorder="1" applyAlignment="1">
      <alignment horizontal="center"/>
    </xf>
    <xf numFmtId="38" fontId="45" fillId="0" borderId="143" xfId="128" applyNumberFormat="1" applyFont="1" applyBorder="1" applyAlignment="1">
      <alignment horizontal="center"/>
    </xf>
    <xf numFmtId="38" fontId="45" fillId="0" borderId="93" xfId="128" applyNumberFormat="1" applyFont="1" applyBorder="1" applyAlignment="1">
      <alignment horizontal="center"/>
    </xf>
    <xf numFmtId="38" fontId="34" fillId="0" borderId="153" xfId="128" applyNumberFormat="1" applyFont="1" applyBorder="1" applyAlignment="1">
      <alignment horizontal="center"/>
    </xf>
    <xf numFmtId="38" fontId="45" fillId="0" borderId="154" xfId="128" applyNumberFormat="1" applyFont="1" applyBorder="1" applyAlignment="1">
      <alignment horizontal="center"/>
    </xf>
    <xf numFmtId="38" fontId="34" fillId="0" borderId="155" xfId="128" applyNumberFormat="1" applyFont="1" applyBorder="1" applyAlignment="1">
      <alignment horizontal="center"/>
    </xf>
    <xf numFmtId="38" fontId="45" fillId="0" borderId="156" xfId="128" applyNumberFormat="1" applyFont="1" applyBorder="1" applyAlignment="1">
      <alignment horizontal="center"/>
    </xf>
    <xf numFmtId="38" fontId="34" fillId="0" borderId="157" xfId="128" applyNumberFormat="1" applyFont="1" applyBorder="1" applyAlignment="1">
      <alignment horizontal="center"/>
    </xf>
    <xf numFmtId="38" fontId="34" fillId="43" borderId="153" xfId="128" applyNumberFormat="1" applyFont="1" applyFill="1" applyBorder="1" applyAlignment="1">
      <alignment horizontal="center"/>
    </xf>
    <xf numFmtId="38" fontId="45" fillId="0" borderId="158" xfId="128" applyNumberFormat="1" applyFont="1" applyBorder="1" applyAlignment="1">
      <alignment horizontal="center"/>
    </xf>
    <xf numFmtId="38" fontId="34" fillId="0" borderId="159" xfId="128" applyNumberFormat="1" applyFont="1" applyBorder="1" applyAlignment="1">
      <alignment horizontal="center"/>
    </xf>
    <xf numFmtId="38" fontId="34" fillId="0" borderId="160" xfId="128" applyNumberFormat="1" applyFont="1" applyBorder="1" applyAlignment="1">
      <alignment horizontal="center"/>
    </xf>
    <xf numFmtId="38" fontId="45" fillId="0" borderId="96" xfId="128" applyNumberFormat="1" applyFont="1" applyBorder="1" applyAlignment="1">
      <alignment horizontal="center"/>
    </xf>
    <xf numFmtId="38" fontId="45" fillId="0" borderId="97" xfId="128" applyNumberFormat="1" applyFont="1" applyBorder="1" applyAlignment="1">
      <alignment horizontal="center"/>
    </xf>
    <xf numFmtId="38" fontId="45" fillId="0" borderId="29" xfId="128" applyNumberFormat="1" applyFont="1" applyBorder="1" applyAlignment="1">
      <alignment horizontal="center"/>
    </xf>
    <xf numFmtId="38" fontId="45" fillId="0" borderId="162" xfId="128" applyNumberFormat="1" applyFont="1" applyBorder="1" applyAlignment="1">
      <alignment horizontal="center"/>
    </xf>
    <xf numFmtId="38" fontId="45" fillId="0" borderId="163" xfId="128" applyNumberFormat="1" applyFont="1" applyBorder="1" applyAlignment="1">
      <alignment horizontal="center"/>
    </xf>
    <xf numFmtId="38" fontId="45" fillId="0" borderId="20" xfId="128" applyNumberFormat="1" applyFont="1" applyBorder="1" applyAlignment="1">
      <alignment horizontal="center"/>
    </xf>
    <xf numFmtId="38" fontId="45" fillId="43" borderId="106" xfId="128" applyNumberFormat="1" applyFont="1" applyFill="1" applyBorder="1" applyAlignment="1">
      <alignment horizontal="center"/>
    </xf>
    <xf numFmtId="38" fontId="45" fillId="0" borderId="161" xfId="128" applyNumberFormat="1" applyFont="1" applyBorder="1" applyAlignment="1">
      <alignment horizontal="center"/>
    </xf>
    <xf numFmtId="38" fontId="45" fillId="0" borderId="164" xfId="128" applyNumberFormat="1" applyFont="1" applyBorder="1" applyAlignment="1">
      <alignment horizontal="center"/>
    </xf>
    <xf numFmtId="38" fontId="45" fillId="0" borderId="31" xfId="128" applyNumberFormat="1" applyFont="1" applyBorder="1" applyAlignment="1">
      <alignment horizontal="center"/>
    </xf>
    <xf numFmtId="38" fontId="45" fillId="0" borderId="165" xfId="128" applyNumberFormat="1" applyFont="1" applyBorder="1" applyAlignment="1">
      <alignment horizontal="center"/>
    </xf>
    <xf numFmtId="38" fontId="45" fillId="43" borderId="162" xfId="128" applyNumberFormat="1" applyFont="1" applyFill="1" applyBorder="1" applyAlignment="1">
      <alignment horizontal="center"/>
    </xf>
    <xf numFmtId="38" fontId="45" fillId="43" borderId="87" xfId="128" applyNumberFormat="1" applyFont="1" applyFill="1" applyBorder="1" applyAlignment="1">
      <alignment horizontal="center"/>
    </xf>
    <xf numFmtId="38" fontId="45" fillId="0" borderId="89" xfId="128" applyNumberFormat="1" applyFont="1" applyBorder="1" applyAlignment="1">
      <alignment horizontal="center"/>
    </xf>
    <xf numFmtId="38" fontId="45" fillId="0" borderId="91" xfId="128" applyNumberFormat="1" applyFont="1" applyBorder="1" applyAlignment="1">
      <alignment horizontal="center"/>
    </xf>
    <xf numFmtId="38" fontId="45" fillId="0" borderId="146" xfId="128" applyNumberFormat="1" applyFont="1" applyBorder="1" applyAlignment="1">
      <alignment horizontal="center"/>
    </xf>
    <xf numFmtId="38" fontId="45" fillId="43" borderId="58" xfId="128" applyNumberFormat="1" applyFont="1" applyFill="1" applyBorder="1" applyAlignment="1">
      <alignment horizontal="center"/>
    </xf>
    <xf numFmtId="38" fontId="45" fillId="0" borderId="62" xfId="128" applyNumberFormat="1" applyFont="1" applyBorder="1" applyAlignment="1">
      <alignment horizontal="center"/>
    </xf>
    <xf numFmtId="38" fontId="34" fillId="0" borderId="158" xfId="128" applyNumberFormat="1" applyFont="1" applyBorder="1" applyAlignment="1">
      <alignment horizontal="center"/>
    </xf>
    <xf numFmtId="38" fontId="45" fillId="0" borderId="147" xfId="128" applyNumberFormat="1" applyFont="1" applyBorder="1" applyAlignment="1">
      <alignment horizontal="center"/>
    </xf>
    <xf numFmtId="38" fontId="45" fillId="43" borderId="96" xfId="128" applyNumberFormat="1" applyFont="1" applyFill="1" applyBorder="1" applyAlignment="1">
      <alignment horizontal="center"/>
    </xf>
    <xf numFmtId="38" fontId="45" fillId="0" borderId="98" xfId="128" applyNumberFormat="1" applyFont="1" applyBorder="1" applyAlignment="1">
      <alignment horizontal="center"/>
    </xf>
    <xf numFmtId="38" fontId="45" fillId="0" borderId="100" xfId="128" applyNumberFormat="1" applyFont="1" applyBorder="1" applyAlignment="1">
      <alignment horizontal="center"/>
    </xf>
    <xf numFmtId="38" fontId="45" fillId="0" borderId="101" xfId="128" applyNumberFormat="1" applyFont="1" applyBorder="1" applyAlignment="1">
      <alignment horizontal="center"/>
    </xf>
    <xf numFmtId="38" fontId="34" fillId="0" borderId="118" xfId="128" applyNumberFormat="1" applyFont="1" applyBorder="1" applyAlignment="1">
      <alignment horizontal="center"/>
    </xf>
    <xf numFmtId="38" fontId="34" fillId="0" borderId="166" xfId="128" applyNumberFormat="1" applyFont="1" applyBorder="1" applyAlignment="1">
      <alignment horizontal="center"/>
    </xf>
    <xf numFmtId="38" fontId="34" fillId="0" borderId="167" xfId="128" applyNumberFormat="1" applyFont="1" applyBorder="1" applyAlignment="1">
      <alignment horizontal="center"/>
    </xf>
    <xf numFmtId="38" fontId="34" fillId="0" borderId="168" xfId="128" applyNumberFormat="1" applyFont="1" applyBorder="1" applyAlignment="1">
      <alignment horizontal="center"/>
    </xf>
    <xf numFmtId="38" fontId="34" fillId="0" borderId="169" xfId="128" applyNumberFormat="1" applyFont="1" applyBorder="1" applyAlignment="1">
      <alignment horizontal="center"/>
    </xf>
    <xf numFmtId="38" fontId="34" fillId="0" borderId="170" xfId="128" applyNumberFormat="1" applyFont="1" applyBorder="1" applyAlignment="1">
      <alignment horizontal="center"/>
    </xf>
    <xf numFmtId="38" fontId="45" fillId="0" borderId="112" xfId="128" applyNumberFormat="1" applyFont="1" applyBorder="1" applyAlignment="1">
      <alignment horizontal="center"/>
    </xf>
    <xf numFmtId="38" fontId="45" fillId="0" borderId="113" xfId="128" applyNumberFormat="1" applyFont="1" applyBorder="1" applyAlignment="1">
      <alignment horizontal="center"/>
    </xf>
    <xf numFmtId="38" fontId="45" fillId="0" borderId="114" xfId="128" applyNumberFormat="1" applyFont="1" applyBorder="1" applyAlignment="1">
      <alignment horizontal="center"/>
    </xf>
    <xf numFmtId="38" fontId="45" fillId="43" borderId="113" xfId="128" applyNumberFormat="1" applyFont="1" applyFill="1" applyBorder="1" applyAlignment="1">
      <alignment horizontal="center"/>
    </xf>
    <xf numFmtId="43" fontId="45" fillId="0" borderId="113" xfId="131" applyFont="1" applyFill="1" applyBorder="1" applyAlignment="1">
      <alignment horizontal="center"/>
    </xf>
    <xf numFmtId="38" fontId="45" fillId="0" borderId="116" xfId="128" applyNumberFormat="1" applyFont="1" applyBorder="1" applyAlignment="1">
      <alignment horizontal="center"/>
    </xf>
    <xf numFmtId="38" fontId="45" fillId="0" borderId="171" xfId="128" applyNumberFormat="1" applyFont="1" applyBorder="1" applyAlignment="1">
      <alignment horizontal="center"/>
    </xf>
    <xf numFmtId="38" fontId="34" fillId="0" borderId="156" xfId="128" applyNumberFormat="1" applyFont="1" applyBorder="1" applyAlignment="1">
      <alignment horizontal="center"/>
    </xf>
    <xf numFmtId="0" fontId="76" fillId="47" borderId="0" xfId="130" applyFont="1" applyFill="1" applyAlignment="1">
      <alignment horizontal="center"/>
    </xf>
    <xf numFmtId="0" fontId="19" fillId="35" borderId="0" xfId="127" applyFont="1" applyFill="1" applyAlignment="1">
      <alignment vertical="center"/>
    </xf>
    <xf numFmtId="0" fontId="70" fillId="35" borderId="0" xfId="127" applyFont="1" applyFill="1" applyAlignment="1">
      <alignment horizontal="center" vertical="center"/>
    </xf>
    <xf numFmtId="0" fontId="26" fillId="35" borderId="0" xfId="43" applyFill="1" applyAlignment="1">
      <alignment vertical="center"/>
    </xf>
    <xf numFmtId="2" fontId="0" fillId="44" borderId="11" xfId="0" applyNumberFormat="1" applyFill="1" applyBorder="1" applyAlignment="1">
      <alignment horizontal="left" vertical="center"/>
    </xf>
    <xf numFmtId="2" fontId="19" fillId="44" borderId="11" xfId="0" applyNumberFormat="1" applyFont="1" applyFill="1" applyBorder="1" applyAlignment="1">
      <alignment horizontal="left" vertical="center"/>
    </xf>
    <xf numFmtId="0" fontId="16" fillId="0" borderId="109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20" fillId="0" borderId="109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66" fillId="0" borderId="109" xfId="0" applyFont="1" applyBorder="1" applyAlignment="1">
      <alignment horizontal="right" vertical="center"/>
    </xf>
    <xf numFmtId="0" fontId="66" fillId="0" borderId="11" xfId="0" applyFont="1" applyBorder="1" applyAlignment="1">
      <alignment horizontal="right" vertical="center"/>
    </xf>
    <xf numFmtId="0" fontId="16" fillId="0" borderId="161" xfId="0" applyFont="1" applyBorder="1" applyAlignment="1">
      <alignment horizontal="left"/>
    </xf>
    <xf numFmtId="0" fontId="57" fillId="0" borderId="0" xfId="0" applyFont="1"/>
    <xf numFmtId="0" fontId="58" fillId="0" borderId="0" xfId="0" applyFont="1"/>
    <xf numFmtId="3" fontId="58" fillId="0" borderId="109" xfId="0" applyNumberFormat="1" applyFont="1" applyBorder="1" applyAlignment="1">
      <alignment horizontal="left"/>
    </xf>
    <xf numFmtId="0" fontId="60" fillId="0" borderId="11" xfId="0" applyFont="1" applyBorder="1" applyAlignment="1">
      <alignment horizontal="right"/>
    </xf>
    <xf numFmtId="0" fontId="57" fillId="0" borderId="109" xfId="0" applyFont="1" applyBorder="1" applyAlignment="1">
      <alignment horizontal="left" vertical="center"/>
    </xf>
    <xf numFmtId="0" fontId="57" fillId="0" borderId="11" xfId="0" applyFont="1" applyBorder="1" applyAlignment="1">
      <alignment horizontal="left" vertical="center"/>
    </xf>
    <xf numFmtId="0" fontId="57" fillId="0" borderId="161" xfId="0" applyFont="1" applyBorder="1" applyAlignment="1">
      <alignment horizontal="center"/>
    </xf>
    <xf numFmtId="0" fontId="65" fillId="0" borderId="109" xfId="0" applyFont="1" applyBorder="1" applyAlignment="1">
      <alignment horizontal="right" vertical="center"/>
    </xf>
    <xf numFmtId="0" fontId="65" fillId="0" borderId="11" xfId="0" applyFont="1" applyBorder="1" applyAlignment="1">
      <alignment horizontal="right" vertical="center"/>
    </xf>
  </cellXfs>
  <cellStyles count="136">
    <cellStyle name="20 % - Akzent1" xfId="49" hidden="1" xr:uid="{00000000-0005-0000-0000-000003000000}"/>
    <cellStyle name="20 % - Akzent1" xfId="74" hidden="1" xr:uid="{00000000-0005-0000-0000-000004000000}"/>
    <cellStyle name="20 % - Akzent1" xfId="115" hidden="1" xr:uid="{00000000-0005-0000-0000-000005000000}"/>
    <cellStyle name="20 % - Akzent1" xfId="116" hidden="1" xr:uid="{00000000-0005-0000-0000-000006000000}"/>
    <cellStyle name="20 % - Akzent2" xfId="52" hidden="1" xr:uid="{00000000-0005-0000-0000-000009000000}"/>
    <cellStyle name="20 % - Akzent2" xfId="85" hidden="1" xr:uid="{00000000-0005-0000-0000-00000A000000}"/>
    <cellStyle name="20 % - Akzent2" xfId="99" hidden="1" xr:uid="{00000000-0005-0000-0000-00000B000000}"/>
    <cellStyle name="20 % - Akzent2" xfId="124" hidden="1" xr:uid="{00000000-0005-0000-0000-00000C000000}"/>
    <cellStyle name="20 % - Akzent3" xfId="55" hidden="1" xr:uid="{00000000-0005-0000-0000-00000F000000}"/>
    <cellStyle name="20 % - Akzent3" xfId="79" hidden="1" xr:uid="{00000000-0005-0000-0000-000010000000}"/>
    <cellStyle name="20 % - Akzent3" xfId="101" hidden="1" xr:uid="{00000000-0005-0000-0000-000011000000}"/>
    <cellStyle name="20 % - Akzent3" xfId="104" hidden="1" xr:uid="{00000000-0005-0000-0000-000012000000}"/>
    <cellStyle name="20 % - Akzent4" xfId="58" hidden="1" xr:uid="{00000000-0005-0000-0000-000015000000}"/>
    <cellStyle name="20 % - Akzent4" xfId="71" hidden="1" xr:uid="{00000000-0005-0000-0000-000016000000}"/>
    <cellStyle name="20 % - Akzent4" xfId="109" hidden="1" xr:uid="{00000000-0005-0000-0000-000017000000}"/>
    <cellStyle name="20 % - Akzent4" xfId="82" hidden="1" xr:uid="{00000000-0005-0000-0000-000018000000}"/>
    <cellStyle name="20 % - Akzent5" xfId="61" hidden="1" xr:uid="{00000000-0005-0000-0000-00001B000000}"/>
    <cellStyle name="20 % - Akzent5" xfId="81" hidden="1" xr:uid="{00000000-0005-0000-0000-00001C000000}"/>
    <cellStyle name="20 % - Akzent5" xfId="112" hidden="1" xr:uid="{00000000-0005-0000-0000-00001D000000}"/>
    <cellStyle name="20 % - Akzent5" xfId="125" hidden="1" xr:uid="{00000000-0005-0000-0000-00001E000000}"/>
    <cellStyle name="20 % - Akzent6" xfId="64" hidden="1" xr:uid="{00000000-0005-0000-0000-000021000000}"/>
    <cellStyle name="20 % - Akzent6" xfId="73" hidden="1" xr:uid="{00000000-0005-0000-0000-000022000000}"/>
    <cellStyle name="20 % - Akzent6" xfId="106" hidden="1" xr:uid="{00000000-0005-0000-0000-000023000000}"/>
    <cellStyle name="20 % - Akzent6" xfId="103" hidden="1" xr:uid="{00000000-0005-0000-0000-000024000000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 % - Akzent1" xfId="50" hidden="1" xr:uid="{00000000-0005-0000-0000-00000A050000}"/>
    <cellStyle name="40 % - Akzent1" xfId="72" hidden="1" xr:uid="{00000000-0005-0000-0000-00000B050000}"/>
    <cellStyle name="40 % - Akzent1" xfId="105" hidden="1" xr:uid="{00000000-0005-0000-0000-00000C050000}"/>
    <cellStyle name="40 % - Akzent1" xfId="108" hidden="1" xr:uid="{00000000-0005-0000-0000-00000D050000}"/>
    <cellStyle name="40 % - Akzent2" xfId="53" hidden="1" xr:uid="{00000000-0005-0000-0000-000010050000}"/>
    <cellStyle name="40 % - Akzent2" xfId="78" hidden="1" xr:uid="{00000000-0005-0000-0000-000011050000}"/>
    <cellStyle name="40 % - Akzent2" xfId="114" hidden="1" xr:uid="{00000000-0005-0000-0000-000012050000}"/>
    <cellStyle name="40 % - Akzent2" xfId="97" hidden="1" xr:uid="{00000000-0005-0000-0000-000013050000}"/>
    <cellStyle name="40 % - Akzent3" xfId="56" hidden="1" xr:uid="{00000000-0005-0000-0000-000016050000}"/>
    <cellStyle name="40 % - Akzent3" xfId="89" hidden="1" xr:uid="{00000000-0005-0000-0000-000017050000}"/>
    <cellStyle name="40 % - Akzent3" xfId="92" hidden="1" xr:uid="{00000000-0005-0000-0000-000018050000}"/>
    <cellStyle name="40 % - Akzent3" xfId="98" hidden="1" xr:uid="{00000000-0005-0000-0000-000019050000}"/>
    <cellStyle name="40 % - Akzent4" xfId="59" hidden="1" xr:uid="{00000000-0005-0000-0000-00001C050000}"/>
    <cellStyle name="40 % - Akzent4" xfId="67" hidden="1" xr:uid="{00000000-0005-0000-0000-00001D050000}"/>
    <cellStyle name="40 % - Akzent4" xfId="118" hidden="1" xr:uid="{00000000-0005-0000-0000-00001E050000}"/>
    <cellStyle name="40 % - Akzent4" xfId="90" hidden="1" xr:uid="{00000000-0005-0000-0000-00001F050000}"/>
    <cellStyle name="40 % - Akzent5" xfId="62" hidden="1" xr:uid="{00000000-0005-0000-0000-000022050000}"/>
    <cellStyle name="40 % - Akzent5" xfId="87" hidden="1" xr:uid="{00000000-0005-0000-0000-000023050000}"/>
    <cellStyle name="40 % - Akzent5" xfId="122" hidden="1" xr:uid="{00000000-0005-0000-0000-000024050000}"/>
    <cellStyle name="40 % - Akzent5" xfId="69" hidden="1" xr:uid="{00000000-0005-0000-0000-000025050000}"/>
    <cellStyle name="40 % - Akzent6" xfId="65" hidden="1" xr:uid="{00000000-0005-0000-0000-000028050000}"/>
    <cellStyle name="40 % - Akzent6" xfId="86" hidden="1" xr:uid="{00000000-0005-0000-0000-000029050000}"/>
    <cellStyle name="40 % - Akzent6" xfId="91" hidden="1" xr:uid="{00000000-0005-0000-0000-00002A050000}"/>
    <cellStyle name="40 % - Akzent6" xfId="123" hidden="1" xr:uid="{00000000-0005-0000-0000-00002B050000}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 % - Akzent1" xfId="51" hidden="1" xr:uid="{00000000-0005-0000-0000-0000A0090000}"/>
    <cellStyle name="60 % - Akzent1" xfId="68" hidden="1" xr:uid="{00000000-0005-0000-0000-0000A1090000}"/>
    <cellStyle name="60 % - Akzent1" xfId="120" hidden="1" xr:uid="{00000000-0005-0000-0000-0000A2090000}"/>
    <cellStyle name="60 % - Akzent1" xfId="119" hidden="1" xr:uid="{00000000-0005-0000-0000-0000A3090000}"/>
    <cellStyle name="60 % - Akzent2" xfId="54" hidden="1" xr:uid="{00000000-0005-0000-0000-0000A6090000}"/>
    <cellStyle name="60 % - Akzent2" xfId="88" hidden="1" xr:uid="{00000000-0005-0000-0000-0000A7090000}"/>
    <cellStyle name="60 % - Akzent2" xfId="117" hidden="1" xr:uid="{00000000-0005-0000-0000-0000A8090000}"/>
    <cellStyle name="60 % - Akzent2" xfId="83" hidden="1" xr:uid="{00000000-0005-0000-0000-0000A9090000}"/>
    <cellStyle name="60 % - Akzent3" xfId="57" hidden="1" xr:uid="{00000000-0005-0000-0000-0000AC090000}"/>
    <cellStyle name="60 % - Akzent3" xfId="80" hidden="1" xr:uid="{00000000-0005-0000-0000-0000AD090000}"/>
    <cellStyle name="60 % - Akzent3" xfId="113" hidden="1" xr:uid="{00000000-0005-0000-0000-0000AE090000}"/>
    <cellStyle name="60 % - Akzent3" xfId="70" hidden="1" xr:uid="{00000000-0005-0000-0000-0000AF090000}"/>
    <cellStyle name="60 % - Akzent4" xfId="60" hidden="1" xr:uid="{00000000-0005-0000-0000-0000B2090000}"/>
    <cellStyle name="60 % - Akzent4" xfId="84" hidden="1" xr:uid="{00000000-0005-0000-0000-0000B3090000}"/>
    <cellStyle name="60 % - Akzent4" xfId="107" hidden="1" xr:uid="{00000000-0005-0000-0000-0000B4090000}"/>
    <cellStyle name="60 % - Akzent4" xfId="100" hidden="1" xr:uid="{00000000-0005-0000-0000-0000B5090000}"/>
    <cellStyle name="60 % - Akzent5" xfId="63" hidden="1" xr:uid="{00000000-0005-0000-0000-0000B8090000}"/>
    <cellStyle name="60 % - Akzent5" xfId="75" hidden="1" xr:uid="{00000000-0005-0000-0000-0000B9090000}"/>
    <cellStyle name="60 % - Akzent5" xfId="110" hidden="1" xr:uid="{00000000-0005-0000-0000-0000BA090000}"/>
    <cellStyle name="60 % - Akzent5" xfId="96" hidden="1" xr:uid="{00000000-0005-0000-0000-0000BB090000}"/>
    <cellStyle name="60 % - Akzent6" xfId="66" hidden="1" xr:uid="{00000000-0005-0000-0000-0000BE090000}"/>
    <cellStyle name="60 % - Akzent6" xfId="77" hidden="1" xr:uid="{00000000-0005-0000-0000-0000BF090000}"/>
    <cellStyle name="60 % - Akzent6" xfId="111" hidden="1" xr:uid="{00000000-0005-0000-0000-0000C0090000}"/>
    <cellStyle name="60 % - Akzent6" xfId="95" hidden="1" xr:uid="{00000000-0005-0000-0000-0000C109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usgabe 7" xfId="44" hidden="1" xr:uid="{00000000-0005-0000-0000-0000E10F0000}"/>
    <cellStyle name="Ausgabe 7" xfId="102" hidden="1" xr:uid="{00000000-0005-0000-0000-0000E20F0000}"/>
    <cellStyle name="Bad" xfId="7" builtinId="27" customBuiltin="1"/>
    <cellStyle name="Berechnung 8" xfId="45" hidden="1" xr:uid="{00000000-0005-0000-0000-000068100000}"/>
    <cellStyle name="Berechnung 8" xfId="94" hidden="1" xr:uid="{00000000-0005-0000-0000-000069100000}"/>
    <cellStyle name="Calculation" xfId="11" builtinId="22" customBuiltin="1"/>
    <cellStyle name="Check Cell" xfId="13" builtinId="23" customBuiltin="1"/>
    <cellStyle name="Comma" xfId="126" builtinId="3"/>
    <cellStyle name="Comma 2" xfId="131" xr:uid="{2706DE1B-8A77-479D-A1B6-D415C15DF304}"/>
    <cellStyle name="Ergebnis 8" xfId="48" hidden="1" xr:uid="{00000000-0005-0000-0000-000039340000}"/>
    <cellStyle name="Ergebnis 8" xfId="121" hidden="1" xr:uid="{00000000-0005-0000-0000-00003A340000}"/>
    <cellStyle name="Erklärender Text 4" xfId="47" hidden="1" xr:uid="{00000000-0005-0000-0000-00003E340000}"/>
    <cellStyle name="Erklärender Text 4" xfId="93" hidden="1" xr:uid="{00000000-0005-0000-0000-00003F34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Hyperlink 2" xfId="135" xr:uid="{5DF4E031-1A26-443C-89CC-DA1BA500A4A7}"/>
    <cellStyle name="Hyperlink 3" xfId="133" xr:uid="{FC6B72DE-D8B9-42FC-9D35-B9EC58B45E22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127" xr:uid="{C8015E5B-BB2C-4455-8316-ECA2C120BAAB}"/>
    <cellStyle name="Normal 2 2" xfId="130" xr:uid="{1AA6CE7F-ECFC-47CF-9235-BD9996F92AF5}"/>
    <cellStyle name="Normal 3" xfId="134" xr:uid="{D9A83FE8-2EC2-4FAF-98ED-A285F82DFE25}"/>
    <cellStyle name="Normal_1990 and 1998 CIP - Prices Quantity and CO2(MH)" xfId="129" xr:uid="{04DF7896-4666-4107-A97C-3E460D392FBF}"/>
    <cellStyle name="Normal_2000balx" xfId="128" xr:uid="{B3C00B14-B312-4A46-9ED8-30E2DAAA08A1}"/>
    <cellStyle name="Note" xfId="15" builtinId="10" customBuiltin="1"/>
    <cellStyle name="Output" xfId="10" builtinId="21" customBuiltin="1"/>
    <cellStyle name="Percent" xfId="42" builtinId="5"/>
    <cellStyle name="Percent 2" xfId="132" xr:uid="{83492389-A7B6-4B93-8A14-4A8E46D9C0CA}"/>
    <cellStyle name="Title" xfId="1" builtinId="15" customBuiltin="1"/>
    <cellStyle name="Total" xfId="17" builtinId="25" customBuiltin="1"/>
    <cellStyle name="Warnender Text 4" xfId="46" hidden="1" xr:uid="{00000000-0005-0000-0000-0000B2A40000}"/>
    <cellStyle name="Warnender Text 4" xfId="76" hidden="1" xr:uid="{00000000-0005-0000-0000-0000B3A40000}"/>
    <cellStyle name="Warning Text" xfId="14" builtinId="11" customBuiltin="1"/>
  </cellStyles>
  <dxfs count="1">
    <dxf>
      <fill>
        <patternFill>
          <bgColor rgb="FFFFFF00"/>
        </patternFill>
      </fill>
    </dxf>
  </dxfs>
  <tableStyles count="1" defaultTableStyle="TableStyleMedium2" defaultPivotStyle="PivotStyleLight16">
    <tableStyle name="Table Style 1" pivot="0" count="1" xr9:uid="{BEBFBEA7-D21D-40E2-9C8F-F4F1AC029812}">
      <tableStyleElement type="firstRowStripe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22</xdr:row>
      <xdr:rowOff>66675</xdr:rowOff>
    </xdr:from>
    <xdr:to>
      <xdr:col>2</xdr:col>
      <xdr:colOff>519112</xdr:colOff>
      <xdr:row>23</xdr:row>
      <xdr:rowOff>161525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5543550"/>
          <a:ext cx="1938337" cy="313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59393" name="Drop Down 1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2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440532</xdr:colOff>
      <xdr:row>12</xdr:row>
      <xdr:rowOff>119063</xdr:rowOff>
    </xdr:from>
    <xdr:to>
      <xdr:col>4</xdr:col>
      <xdr:colOff>738187</xdr:colOff>
      <xdr:row>17</xdr:row>
      <xdr:rowOff>166687</xdr:rowOff>
    </xdr:to>
    <xdr:sp macro="" textlink="">
      <xdr:nvSpPr>
        <xdr:cNvPr id="4" name="Arrow: Bent-Up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2583657" y="2845594"/>
          <a:ext cx="1285874" cy="1012031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59</xdr:row>
      <xdr:rowOff>66675</xdr:rowOff>
    </xdr:from>
    <xdr:to>
      <xdr:col>3</xdr:col>
      <xdr:colOff>114300</xdr:colOff>
      <xdr:row>61</xdr:row>
      <xdr:rowOff>161925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2543175" y="11544300"/>
          <a:ext cx="600075" cy="476250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ytzhan Suleimenov" id="{54B4C0BE-8642-4C0A-BFC7-E4A14DF509F3}" userId="S::BSuleimenov@ucc.ie::f6970575-8acf-461c-bc66-0e999b6a9f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5" dT="2023-10-19T08:08:39.30" personId="{54B4C0BE-8642-4C0A-BFC7-E4A14DF509F3}" id="{18DD4B92-6E3F-4968-B5AC-2C31F699EE36}">
    <text>Corrected to the value from SEAI Heat Study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cso.ie/en/releasesandpublications/er/ndber/non-domesticbuildingenergyratingsq42018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seai.ie/publications/Public-Sector-Annual-Report-201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D879-EF52-4D62-9DB2-77F8A9CE34B4}">
  <sheetPr codeName="Sheet17"/>
  <dimension ref="A1:Z99"/>
  <sheetViews>
    <sheetView showGridLines="0" topLeftCell="A10" zoomScaleNormal="100" workbookViewId="0">
      <selection activeCell="A26" sqref="A26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307"/>
      <c r="B1" s="307"/>
      <c r="C1" s="307"/>
      <c r="D1" s="307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</row>
    <row r="2" spans="1:26">
      <c r="A2" s="307"/>
      <c r="B2" s="307"/>
      <c r="C2" s="307"/>
      <c r="D2" s="307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</row>
    <row r="3" spans="1:26">
      <c r="A3" s="307"/>
      <c r="B3" s="307"/>
      <c r="C3" s="307"/>
      <c r="D3" s="307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</row>
    <row r="4" spans="1:26">
      <c r="A4" s="307"/>
      <c r="B4" s="307"/>
      <c r="C4" s="307"/>
      <c r="D4" s="307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</row>
    <row r="5" spans="1:26">
      <c r="A5" s="307"/>
      <c r="B5" s="307"/>
      <c r="C5" s="307"/>
      <c r="D5" s="307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</row>
    <row r="6" spans="1:26">
      <c r="A6" s="307"/>
      <c r="B6" s="307"/>
      <c r="C6" s="307"/>
      <c r="D6" s="307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</row>
    <row r="7" spans="1:26">
      <c r="A7" s="307"/>
      <c r="B7" s="307"/>
      <c r="C7" s="307"/>
      <c r="D7" s="307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</row>
    <row r="8" spans="1:26">
      <c r="A8" s="307"/>
      <c r="B8" s="307"/>
      <c r="C8" s="307"/>
      <c r="D8" s="307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</row>
    <row r="9" spans="1:26">
      <c r="A9" s="307"/>
      <c r="B9" s="307"/>
      <c r="C9" s="307"/>
      <c r="D9" s="307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</row>
    <row r="10" spans="1:26">
      <c r="A10" s="307"/>
      <c r="B10" s="307"/>
      <c r="C10" s="307"/>
      <c r="D10" s="307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</row>
    <row r="11" spans="1:26">
      <c r="A11" s="307"/>
      <c r="B11" s="307"/>
      <c r="C11" s="307"/>
      <c r="D11" s="307"/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308"/>
      <c r="W11" s="308"/>
      <c r="X11" s="308"/>
      <c r="Y11" s="308"/>
      <c r="Z11" s="308"/>
    </row>
    <row r="12" spans="1:26">
      <c r="A12" s="307"/>
      <c r="B12" s="307"/>
      <c r="C12" s="307"/>
      <c r="D12" s="307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</row>
    <row r="13" spans="1:26">
      <c r="A13" s="307"/>
      <c r="B13" s="307"/>
      <c r="C13" s="307"/>
      <c r="D13" s="307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</row>
    <row r="14" spans="1:26">
      <c r="A14" s="307"/>
      <c r="B14" s="307"/>
      <c r="C14" s="307"/>
      <c r="D14" s="307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308"/>
    </row>
    <row r="15" spans="1:26">
      <c r="A15" s="307"/>
      <c r="B15" s="307"/>
      <c r="C15" s="307"/>
      <c r="D15" s="307"/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308"/>
      <c r="T15" s="308"/>
      <c r="U15" s="308"/>
      <c r="V15" s="308"/>
      <c r="W15" s="308"/>
      <c r="X15" s="308"/>
      <c r="Y15" s="308"/>
      <c r="Z15" s="308"/>
    </row>
    <row r="16" spans="1:26" ht="102.75" customHeight="1">
      <c r="A16" s="605" t="s">
        <v>591</v>
      </c>
      <c r="B16" s="605"/>
      <c r="C16" s="605"/>
      <c r="D16" s="605"/>
      <c r="E16" s="309"/>
      <c r="F16" s="309"/>
      <c r="G16" s="310"/>
      <c r="H16" s="310"/>
      <c r="I16" s="310"/>
      <c r="J16" s="310"/>
      <c r="K16" s="310"/>
      <c r="L16" s="310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</row>
    <row r="17" spans="1:26" ht="17.25" customHeight="1">
      <c r="A17" s="311"/>
      <c r="B17" s="311"/>
      <c r="C17" s="311"/>
      <c r="D17" s="311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  <c r="Z17" s="308"/>
    </row>
    <row r="18" spans="1:26" ht="17.25" customHeight="1">
      <c r="A18" s="311"/>
      <c r="B18" s="311"/>
      <c r="C18" s="311"/>
      <c r="D18" s="311"/>
      <c r="E18" s="312"/>
      <c r="F18" s="312"/>
      <c r="G18" s="313"/>
      <c r="H18" s="313"/>
      <c r="I18" s="313"/>
      <c r="J18" s="313"/>
      <c r="K18" s="313"/>
      <c r="L18" s="313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</row>
    <row r="19" spans="1:26" ht="17.25" customHeight="1">
      <c r="A19" s="314" t="s">
        <v>74</v>
      </c>
      <c r="B19" s="604" t="s">
        <v>603</v>
      </c>
      <c r="C19" s="604"/>
      <c r="D19" s="604"/>
      <c r="E19" s="315"/>
      <c r="F19" s="315"/>
      <c r="G19" s="316"/>
      <c r="H19" s="316"/>
      <c r="I19" s="316"/>
      <c r="J19" s="316"/>
      <c r="K19" s="316"/>
      <c r="L19" s="316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</row>
    <row r="20" spans="1:26" ht="17.25" customHeight="1">
      <c r="A20" s="314" t="s">
        <v>592</v>
      </c>
      <c r="B20" s="604" t="s">
        <v>604</v>
      </c>
      <c r="C20" s="604"/>
      <c r="D20" s="604"/>
      <c r="E20" s="315"/>
      <c r="F20" s="315"/>
      <c r="G20" s="316"/>
      <c r="H20" s="316"/>
      <c r="I20" s="316"/>
      <c r="J20" s="316"/>
      <c r="K20" s="316"/>
      <c r="L20" s="316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</row>
    <row r="21" spans="1:26" ht="17.25" customHeight="1">
      <c r="A21" s="314" t="s">
        <v>593</v>
      </c>
      <c r="B21" s="317" t="s">
        <v>605</v>
      </c>
      <c r="C21" s="317"/>
      <c r="D21" s="317"/>
      <c r="E21" s="315"/>
      <c r="F21" s="315"/>
      <c r="G21" s="316"/>
      <c r="H21" s="316"/>
      <c r="I21" s="316"/>
      <c r="J21" s="316"/>
      <c r="K21" s="316"/>
      <c r="L21" s="316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</row>
    <row r="22" spans="1:26" ht="17.25" customHeight="1">
      <c r="A22" s="314"/>
      <c r="B22" s="317"/>
      <c r="C22" s="317"/>
      <c r="D22" s="317"/>
      <c r="E22" s="315"/>
      <c r="F22" s="315"/>
      <c r="G22" s="316"/>
      <c r="H22" s="316"/>
      <c r="I22" s="316"/>
      <c r="J22" s="316"/>
      <c r="K22" s="316"/>
      <c r="L22" s="316"/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8"/>
    </row>
    <row r="23" spans="1:26" ht="17.25" customHeight="1">
      <c r="A23" s="314" t="s">
        <v>594</v>
      </c>
      <c r="B23" s="604"/>
      <c r="C23" s="604"/>
      <c r="D23" s="604"/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</row>
    <row r="24" spans="1:26" ht="17.25" customHeight="1">
      <c r="A24" s="314"/>
      <c r="B24" s="317"/>
      <c r="C24" s="317"/>
      <c r="D24" s="317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</row>
    <row r="25" spans="1:26" ht="17.25" customHeight="1">
      <c r="A25" s="314"/>
      <c r="B25" s="317"/>
      <c r="C25" s="317"/>
      <c r="D25" s="317"/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</row>
    <row r="26" spans="1:26" ht="17.25" customHeight="1">
      <c r="A26" s="314" t="s">
        <v>595</v>
      </c>
      <c r="B26" s="604" t="s">
        <v>602</v>
      </c>
      <c r="C26" s="604"/>
      <c r="D26" s="604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</row>
    <row r="27" spans="1:26" ht="17.25" customHeight="1">
      <c r="A27" s="314"/>
      <c r="B27" s="317"/>
      <c r="C27" s="317"/>
      <c r="D27" s="317"/>
      <c r="E27" s="308"/>
      <c r="F27" s="308"/>
      <c r="G27" s="308"/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</row>
    <row r="28" spans="1:26" ht="17.25" customHeight="1">
      <c r="A28" s="314"/>
      <c r="B28" s="317"/>
      <c r="C28" s="317"/>
      <c r="D28" s="317"/>
      <c r="E28" s="308"/>
      <c r="F28" s="308"/>
      <c r="G28" s="308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</row>
    <row r="29" spans="1:26" ht="17.25" customHeight="1">
      <c r="A29" s="314" t="s">
        <v>596</v>
      </c>
      <c r="B29" s="318">
        <v>1</v>
      </c>
      <c r="C29" s="317"/>
      <c r="D29" s="317"/>
      <c r="E29" s="308"/>
      <c r="F29" s="308"/>
      <c r="G29" s="308"/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</row>
    <row r="30" spans="1:26" ht="17.25" customHeight="1">
      <c r="A30" s="314" t="s">
        <v>597</v>
      </c>
      <c r="B30" s="606" t="s">
        <v>598</v>
      </c>
      <c r="C30" s="604"/>
      <c r="D30" s="604"/>
      <c r="E30" s="319"/>
      <c r="F30" s="319"/>
      <c r="G30" s="30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</row>
    <row r="31" spans="1:26" ht="17.25" customHeight="1">
      <c r="A31" s="314" t="s">
        <v>599</v>
      </c>
      <c r="B31" s="604" t="s">
        <v>600</v>
      </c>
      <c r="C31" s="604"/>
      <c r="D31" s="604"/>
      <c r="E31" s="319"/>
      <c r="F31" s="319"/>
      <c r="G31" s="308"/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</row>
    <row r="32" spans="1:26" ht="17.25" customHeight="1">
      <c r="A32" s="320"/>
      <c r="B32" s="321" t="s">
        <v>601</v>
      </c>
      <c r="C32" s="320"/>
      <c r="D32" s="320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</row>
    <row r="33" spans="1:26">
      <c r="A33" s="307"/>
      <c r="B33" s="307"/>
      <c r="C33" s="307"/>
      <c r="D33" s="307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</row>
    <row r="34" spans="1:26">
      <c r="A34" s="307"/>
      <c r="B34" s="307"/>
      <c r="C34" s="307"/>
      <c r="D34" s="307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</row>
    <row r="35" spans="1:26">
      <c r="A35" s="307"/>
      <c r="B35" s="307"/>
      <c r="C35" s="307"/>
      <c r="D35" s="307"/>
      <c r="E35" s="308"/>
      <c r="F35" s="308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</row>
    <row r="36" spans="1:26">
      <c r="A36" s="307"/>
      <c r="B36" s="307"/>
      <c r="C36" s="307"/>
      <c r="D36" s="307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</row>
    <row r="37" spans="1:26">
      <c r="A37" s="307"/>
      <c r="B37" s="307"/>
      <c r="C37" s="307"/>
      <c r="D37" s="307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</row>
    <row r="38" spans="1:26">
      <c r="A38" s="307"/>
      <c r="B38" s="307"/>
      <c r="C38" s="307"/>
      <c r="D38" s="307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</row>
    <row r="39" spans="1:26">
      <c r="A39" s="307"/>
      <c r="B39" s="307"/>
      <c r="C39" s="307"/>
      <c r="D39" s="307"/>
      <c r="E39" s="308"/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</row>
    <row r="40" spans="1:26">
      <c r="A40" s="307"/>
      <c r="B40" s="307"/>
      <c r="C40" s="307"/>
      <c r="D40" s="307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</row>
    <row r="41" spans="1:26">
      <c r="A41" s="307"/>
      <c r="B41" s="307"/>
      <c r="C41" s="307"/>
      <c r="D41" s="307"/>
      <c r="E41" s="308"/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</row>
    <row r="42" spans="1:26">
      <c r="A42" s="307"/>
      <c r="B42" s="307"/>
      <c r="C42" s="307"/>
      <c r="D42" s="307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</row>
    <row r="43" spans="1:26">
      <c r="A43" s="308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</row>
    <row r="44" spans="1:26">
      <c r="A44" s="308"/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</row>
    <row r="45" spans="1:26">
      <c r="A45" s="308"/>
      <c r="B45" s="308"/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  <c r="Z45" s="308"/>
    </row>
    <row r="46" spans="1:26">
      <c r="A46" s="308"/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</row>
    <row r="47" spans="1:26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</row>
    <row r="48" spans="1:26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</row>
    <row r="49" spans="1:26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Z49" s="308"/>
    </row>
    <row r="50" spans="1:26">
      <c r="A50" s="308"/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  <c r="Z50" s="308"/>
    </row>
    <row r="51" spans="1:26">
      <c r="A51" s="308"/>
      <c r="B51" s="308"/>
      <c r="C51" s="308"/>
      <c r="D51" s="308"/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308"/>
      <c r="W51" s="308"/>
      <c r="X51" s="308"/>
      <c r="Y51" s="308"/>
      <c r="Z51" s="308"/>
    </row>
    <row r="52" spans="1:26">
      <c r="A52" s="308"/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</row>
    <row r="53" spans="1:26">
      <c r="A53" s="308"/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</row>
    <row r="54" spans="1:26">
      <c r="A54" s="308"/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  <c r="Z54" s="308"/>
    </row>
    <row r="55" spans="1:26">
      <c r="A55" s="308"/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</row>
    <row r="56" spans="1:26">
      <c r="A56" s="308"/>
      <c r="B56" s="308"/>
      <c r="C56" s="308"/>
      <c r="D56" s="308"/>
      <c r="E56" s="308"/>
      <c r="F56" s="308"/>
      <c r="G56" s="308"/>
      <c r="H56" s="308"/>
      <c r="I56" s="308"/>
      <c r="J56" s="308"/>
      <c r="K56" s="308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308"/>
      <c r="W56" s="308"/>
      <c r="X56" s="308"/>
      <c r="Y56" s="308"/>
      <c r="Z56" s="308"/>
    </row>
    <row r="57" spans="1:26">
      <c r="A57" s="308"/>
      <c r="B57" s="308"/>
      <c r="C57" s="308"/>
      <c r="D57" s="308"/>
      <c r="E57" s="308"/>
      <c r="F57" s="308"/>
      <c r="G57" s="308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</row>
    <row r="58" spans="1:26">
      <c r="A58" s="308"/>
      <c r="B58" s="308"/>
      <c r="C58" s="308"/>
      <c r="D58" s="308"/>
      <c r="E58" s="308"/>
      <c r="F58" s="308"/>
      <c r="G58" s="308"/>
      <c r="H58" s="308"/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</row>
    <row r="59" spans="1:26">
      <c r="A59" s="308"/>
      <c r="B59" s="308"/>
      <c r="C59" s="308"/>
      <c r="D59" s="308"/>
      <c r="E59" s="308"/>
      <c r="F59" s="308"/>
      <c r="G59" s="308"/>
      <c r="H59" s="308"/>
      <c r="I59" s="308"/>
      <c r="J59" s="308"/>
      <c r="K59" s="308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308"/>
      <c r="W59" s="308"/>
      <c r="X59" s="308"/>
      <c r="Y59" s="308"/>
      <c r="Z59" s="308"/>
    </row>
    <row r="60" spans="1:26">
      <c r="A60" s="308"/>
      <c r="B60" s="308"/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</row>
    <row r="61" spans="1:26">
      <c r="A61" s="308"/>
      <c r="B61" s="308"/>
      <c r="C61" s="308"/>
      <c r="D61" s="308"/>
      <c r="E61" s="308"/>
      <c r="F61" s="308"/>
      <c r="G61" s="308"/>
      <c r="H61" s="308"/>
      <c r="I61" s="308"/>
      <c r="J61" s="308"/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</row>
    <row r="62" spans="1:26">
      <c r="A62" s="308"/>
      <c r="B62" s="308"/>
      <c r="C62" s="308"/>
      <c r="D62" s="308"/>
      <c r="E62" s="308"/>
      <c r="F62" s="308"/>
      <c r="G62" s="308"/>
      <c r="H62" s="308"/>
      <c r="I62" s="308"/>
      <c r="J62" s="308"/>
      <c r="K62" s="308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308"/>
      <c r="W62" s="308"/>
      <c r="X62" s="308"/>
      <c r="Y62" s="308"/>
      <c r="Z62" s="308"/>
    </row>
    <row r="63" spans="1:26">
      <c r="A63" s="308"/>
      <c r="B63" s="308"/>
      <c r="C63" s="308"/>
      <c r="D63" s="308"/>
      <c r="E63" s="308"/>
      <c r="F63" s="308"/>
      <c r="G63" s="308"/>
      <c r="H63" s="308"/>
      <c r="I63" s="308"/>
      <c r="J63" s="308"/>
      <c r="K63" s="308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308"/>
      <c r="W63" s="308"/>
      <c r="X63" s="308"/>
      <c r="Y63" s="308"/>
      <c r="Z63" s="308"/>
    </row>
    <row r="64" spans="1:26">
      <c r="A64" s="308"/>
      <c r="B64" s="308"/>
      <c r="C64" s="30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</row>
    <row r="65" spans="1:26">
      <c r="A65" s="308"/>
      <c r="B65" s="308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</row>
    <row r="66" spans="1:26">
      <c r="A66" s="308"/>
      <c r="B66" s="308"/>
      <c r="C66" s="308"/>
      <c r="D66" s="308"/>
      <c r="E66" s="308"/>
      <c r="F66" s="308"/>
      <c r="G66" s="308"/>
      <c r="H66" s="308"/>
      <c r="I66" s="308"/>
      <c r="J66" s="308"/>
      <c r="K66" s="308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308"/>
      <c r="W66" s="308"/>
      <c r="X66" s="308"/>
      <c r="Y66" s="308"/>
      <c r="Z66" s="308"/>
    </row>
    <row r="67" spans="1:26">
      <c r="A67" s="308"/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</row>
    <row r="68" spans="1:26">
      <c r="A68" s="308"/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  <c r="X68" s="308"/>
      <c r="Y68" s="308"/>
      <c r="Z68" s="308"/>
    </row>
    <row r="69" spans="1:26">
      <c r="A69" s="308"/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</row>
    <row r="70" spans="1:26">
      <c r="A70" s="308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</row>
    <row r="71" spans="1:26">
      <c r="A71" s="308"/>
      <c r="B71" s="308"/>
      <c r="C71" s="308"/>
      <c r="D71" s="308"/>
      <c r="E71" s="308"/>
      <c r="F71" s="308"/>
      <c r="G71" s="308"/>
      <c r="H71" s="308"/>
      <c r="I71" s="308"/>
      <c r="J71" s="308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  <c r="X71" s="308"/>
      <c r="Y71" s="308"/>
      <c r="Z71" s="308"/>
    </row>
    <row r="72" spans="1:26">
      <c r="A72" s="308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  <c r="X72" s="308"/>
      <c r="Y72" s="308"/>
      <c r="Z72" s="308"/>
    </row>
    <row r="73" spans="1:26">
      <c r="A73" s="308"/>
      <c r="B73" s="308"/>
      <c r="C73" s="308"/>
      <c r="D73" s="308"/>
      <c r="E73" s="308"/>
      <c r="F73" s="308"/>
      <c r="G73" s="308"/>
      <c r="H73" s="308"/>
      <c r="I73" s="308"/>
      <c r="J73" s="308"/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  <c r="X73" s="308"/>
      <c r="Y73" s="308"/>
      <c r="Z73" s="308"/>
    </row>
    <row r="74" spans="1:26">
      <c r="A74" s="308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</row>
    <row r="75" spans="1:26">
      <c r="A75" s="308"/>
      <c r="B75" s="308"/>
      <c r="C75" s="308"/>
      <c r="D75" s="308"/>
      <c r="E75" s="308"/>
      <c r="F75" s="308"/>
      <c r="G75" s="308"/>
      <c r="H75" s="308"/>
      <c r="I75" s="308"/>
      <c r="J75" s="308"/>
      <c r="K75" s="308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308"/>
      <c r="W75" s="308"/>
      <c r="X75" s="308"/>
      <c r="Y75" s="308"/>
      <c r="Z75" s="308"/>
    </row>
    <row r="76" spans="1:26">
      <c r="A76" s="308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</row>
    <row r="77" spans="1:26">
      <c r="A77" s="308"/>
      <c r="B77" s="308"/>
      <c r="C77" s="308"/>
      <c r="D77" s="308"/>
      <c r="E77" s="308"/>
      <c r="F77" s="308"/>
      <c r="G77" s="308"/>
      <c r="H77" s="308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Z77" s="308"/>
    </row>
    <row r="78" spans="1:26">
      <c r="A78" s="308"/>
      <c r="B78" s="308"/>
      <c r="C78" s="308"/>
      <c r="D78" s="308"/>
      <c r="E78" s="308"/>
      <c r="F78" s="308"/>
      <c r="G78" s="308"/>
      <c r="H78" s="308"/>
      <c r="I78" s="308"/>
      <c r="J78" s="308"/>
      <c r="K78" s="308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308"/>
      <c r="W78" s="308"/>
      <c r="X78" s="308"/>
      <c r="Y78" s="308"/>
      <c r="Z78" s="308"/>
    </row>
    <row r="79" spans="1:26">
      <c r="A79" s="308"/>
      <c r="B79" s="308"/>
      <c r="C79" s="308"/>
      <c r="D79" s="308"/>
      <c r="E79" s="308"/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</row>
    <row r="80" spans="1:26">
      <c r="A80" s="308"/>
      <c r="B80" s="308"/>
      <c r="C80" s="308"/>
      <c r="D80" s="308"/>
      <c r="E80" s="308"/>
      <c r="F80" s="308"/>
      <c r="G80" s="308"/>
      <c r="H80" s="308"/>
      <c r="I80" s="308"/>
      <c r="J80" s="308"/>
      <c r="K80" s="308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308"/>
      <c r="W80" s="308"/>
      <c r="X80" s="308"/>
      <c r="Y80" s="308"/>
      <c r="Z80" s="308"/>
    </row>
    <row r="81" spans="1:26">
      <c r="A81" s="308"/>
      <c r="B81" s="308"/>
      <c r="C81" s="308"/>
      <c r="D81" s="308"/>
      <c r="E81" s="308"/>
      <c r="F81" s="308"/>
      <c r="G81" s="308"/>
      <c r="H81" s="308"/>
      <c r="I81" s="308"/>
      <c r="J81" s="308"/>
      <c r="K81" s="308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  <c r="Z81" s="308"/>
    </row>
    <row r="82" spans="1:26">
      <c r="A82" s="308"/>
      <c r="B82" s="308"/>
      <c r="C82" s="308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</row>
    <row r="83" spans="1:26">
      <c r="A83" s="308"/>
      <c r="B83" s="308"/>
      <c r="C83" s="308"/>
      <c r="D83" s="308"/>
      <c r="E83" s="308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  <c r="Z83" s="308"/>
    </row>
    <row r="84" spans="1:26">
      <c r="A84" s="308"/>
      <c r="B84" s="308"/>
      <c r="C84" s="308"/>
      <c r="D84" s="308"/>
      <c r="E84" s="308"/>
      <c r="F84" s="308"/>
      <c r="G84" s="308"/>
      <c r="H84" s="308"/>
      <c r="I84" s="308"/>
      <c r="J84" s="308"/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308"/>
      <c r="W84" s="308"/>
      <c r="X84" s="308"/>
      <c r="Y84" s="308"/>
      <c r="Z84" s="308"/>
    </row>
    <row r="85" spans="1:26">
      <c r="A85" s="308"/>
      <c r="B85" s="308"/>
      <c r="C85" s="308"/>
      <c r="D85" s="308"/>
      <c r="E85" s="308"/>
      <c r="F85" s="308"/>
      <c r="G85" s="308"/>
      <c r="H85" s="308"/>
      <c r="I85" s="308"/>
      <c r="J85" s="308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  <c r="Z85" s="308"/>
    </row>
    <row r="86" spans="1:26">
      <c r="A86" s="308"/>
      <c r="B86" s="308"/>
      <c r="C86" s="308"/>
      <c r="D86" s="308"/>
      <c r="E86" s="308"/>
      <c r="F86" s="308"/>
      <c r="G86" s="308"/>
      <c r="H86" s="308"/>
      <c r="I86" s="308"/>
      <c r="J86" s="308"/>
      <c r="K86" s="308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308"/>
      <c r="W86" s="308"/>
      <c r="X86" s="308"/>
      <c r="Y86" s="308"/>
      <c r="Z86" s="308"/>
    </row>
    <row r="87" spans="1:26">
      <c r="A87" s="308"/>
      <c r="B87" s="308"/>
      <c r="C87" s="308"/>
      <c r="D87" s="308"/>
      <c r="E87" s="308"/>
      <c r="F87" s="308"/>
      <c r="G87" s="308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</row>
    <row r="88" spans="1:26">
      <c r="A88" s="308"/>
      <c r="B88" s="308"/>
      <c r="C88" s="308"/>
      <c r="D88" s="308"/>
      <c r="E88" s="308"/>
      <c r="F88" s="308"/>
      <c r="G88" s="308"/>
      <c r="H88" s="308"/>
      <c r="I88" s="308"/>
      <c r="J88" s="308"/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8"/>
      <c r="Y88" s="308"/>
      <c r="Z88" s="308"/>
    </row>
    <row r="89" spans="1:26">
      <c r="A89" s="308"/>
      <c r="B89" s="308"/>
      <c r="C89" s="308"/>
      <c r="D89" s="308"/>
      <c r="E89" s="308"/>
      <c r="F89" s="308"/>
      <c r="G89" s="308"/>
      <c r="H89" s="308"/>
      <c r="I89" s="308"/>
      <c r="J89" s="308"/>
      <c r="K89" s="308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308"/>
      <c r="W89" s="308"/>
      <c r="X89" s="308"/>
      <c r="Y89" s="308"/>
      <c r="Z89" s="308"/>
    </row>
    <row r="90" spans="1:26">
      <c r="A90" s="308"/>
      <c r="B90" s="308"/>
      <c r="C90" s="308"/>
      <c r="D90" s="308"/>
      <c r="E90" s="308"/>
      <c r="F90" s="308"/>
      <c r="G90" s="308"/>
      <c r="H90" s="308"/>
      <c r="I90" s="308"/>
      <c r="J90" s="308"/>
      <c r="K90" s="308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308"/>
      <c r="W90" s="308"/>
      <c r="X90" s="308"/>
      <c r="Y90" s="308"/>
      <c r="Z90" s="308"/>
    </row>
    <row r="91" spans="1:26">
      <c r="A91" s="308"/>
      <c r="B91" s="308"/>
      <c r="C91" s="308"/>
      <c r="D91" s="308"/>
      <c r="E91" s="308"/>
      <c r="F91" s="308"/>
      <c r="G91" s="308"/>
      <c r="H91" s="308"/>
      <c r="I91" s="308"/>
      <c r="J91" s="308"/>
      <c r="K91" s="308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308"/>
      <c r="W91" s="308"/>
      <c r="X91" s="308"/>
      <c r="Y91" s="308"/>
      <c r="Z91" s="308"/>
    </row>
    <row r="92" spans="1:26">
      <c r="A92" s="308"/>
      <c r="B92" s="308"/>
      <c r="C92" s="308"/>
      <c r="D92" s="308"/>
      <c r="E92" s="308"/>
      <c r="F92" s="308"/>
      <c r="G92" s="308"/>
      <c r="H92" s="308"/>
      <c r="I92" s="308"/>
      <c r="J92" s="308"/>
      <c r="K92" s="308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308"/>
      <c r="W92" s="308"/>
      <c r="X92" s="308"/>
      <c r="Y92" s="308"/>
      <c r="Z92" s="308"/>
    </row>
    <row r="93" spans="1:26">
      <c r="A93" s="308"/>
      <c r="B93" s="308"/>
      <c r="C93" s="308"/>
      <c r="D93" s="308"/>
      <c r="E93" s="308"/>
      <c r="F93" s="308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</row>
    <row r="94" spans="1:26">
      <c r="A94" s="308"/>
      <c r="B94" s="308"/>
      <c r="C94" s="308"/>
      <c r="D94" s="308"/>
      <c r="E94" s="308"/>
      <c r="F94" s="308"/>
      <c r="G94" s="308"/>
      <c r="H94" s="308"/>
      <c r="I94" s="308"/>
      <c r="J94" s="308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</row>
    <row r="95" spans="1:26">
      <c r="A95" s="308"/>
      <c r="B95" s="308"/>
      <c r="C95" s="308"/>
      <c r="D95" s="308"/>
      <c r="E95" s="308"/>
      <c r="F95" s="308"/>
      <c r="G95" s="308"/>
      <c r="H95" s="308"/>
      <c r="I95" s="308"/>
      <c r="J95" s="308"/>
      <c r="K95" s="308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308"/>
      <c r="W95" s="308"/>
      <c r="X95" s="308"/>
      <c r="Y95" s="308"/>
      <c r="Z95" s="308"/>
    </row>
    <row r="96" spans="1:26">
      <c r="A96" s="308"/>
      <c r="B96" s="308"/>
      <c r="C96" s="308"/>
      <c r="D96" s="308"/>
      <c r="E96" s="308"/>
      <c r="F96" s="308"/>
      <c r="G96" s="308"/>
      <c r="H96" s="308"/>
      <c r="I96" s="308"/>
      <c r="J96" s="308"/>
      <c r="K96" s="308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308"/>
      <c r="W96" s="308"/>
      <c r="X96" s="308"/>
      <c r="Y96" s="308"/>
      <c r="Z96" s="308"/>
    </row>
    <row r="97" spans="1:26">
      <c r="A97" s="308"/>
      <c r="B97" s="308"/>
      <c r="C97" s="308"/>
      <c r="D97" s="308"/>
      <c r="E97" s="308"/>
      <c r="F97" s="308"/>
      <c r="G97" s="308"/>
      <c r="H97" s="308"/>
      <c r="I97" s="308"/>
      <c r="J97" s="308"/>
      <c r="K97" s="308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308"/>
      <c r="W97" s="308"/>
      <c r="X97" s="308"/>
      <c r="Y97" s="308"/>
      <c r="Z97" s="308"/>
    </row>
    <row r="98" spans="1:26">
      <c r="A98" s="308"/>
      <c r="B98" s="308"/>
      <c r="C98" s="308"/>
      <c r="D98" s="308"/>
      <c r="E98" s="308"/>
      <c r="F98" s="308"/>
      <c r="G98" s="308"/>
      <c r="H98" s="308"/>
      <c r="I98" s="308"/>
      <c r="J98" s="308"/>
      <c r="K98" s="308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  <c r="Z98" s="308"/>
    </row>
    <row r="99" spans="1:26">
      <c r="A99" s="308"/>
      <c r="B99" s="308"/>
      <c r="C99" s="308"/>
      <c r="D99" s="308"/>
      <c r="E99" s="308"/>
      <c r="F99" s="308"/>
      <c r="G99" s="308"/>
      <c r="H99" s="308"/>
      <c r="I99" s="308"/>
      <c r="J99" s="308"/>
      <c r="K99" s="308"/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308"/>
      <c r="W99" s="308"/>
      <c r="X99" s="308"/>
      <c r="Y99" s="308"/>
      <c r="Z99" s="308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681F5587-6B3E-4C76-B8D2-5984B5097AED}"/>
    <hyperlink ref="B32" r:id="rId2" xr:uid="{D7B72A4F-FF7B-4EE3-9F9A-57D30AAD55B4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3:C66"/>
  <sheetViews>
    <sheetView showGridLines="0" topLeftCell="A44" zoomScaleNormal="100" workbookViewId="0">
      <selection activeCell="B65" sqref="B65"/>
    </sheetView>
  </sheetViews>
  <sheetFormatPr defaultColWidth="9.1796875" defaultRowHeight="14.5"/>
  <cols>
    <col min="1" max="1" width="25.81640625" style="5" customWidth="1"/>
    <col min="2" max="2" width="18.1796875" style="5" customWidth="1"/>
    <col min="3" max="3" width="64.26953125" style="5" bestFit="1" customWidth="1"/>
    <col min="4" max="4" width="9.1796875" style="5"/>
    <col min="5" max="5" width="21.7265625" style="5" bestFit="1" customWidth="1"/>
    <col min="6" max="16384" width="9.1796875" style="5"/>
  </cols>
  <sheetData>
    <row r="3" spans="1:3">
      <c r="A3" s="7" t="s">
        <v>97</v>
      </c>
      <c r="B3" s="5" t="s">
        <v>188</v>
      </c>
      <c r="C3" s="8" t="s">
        <v>187</v>
      </c>
    </row>
    <row r="4" spans="1:3">
      <c r="A4" s="7" t="s">
        <v>75</v>
      </c>
      <c r="B4" s="8" t="s">
        <v>56</v>
      </c>
      <c r="C4" s="5" t="s">
        <v>438</v>
      </c>
    </row>
    <row r="5" spans="1:3">
      <c r="A5" s="7" t="s">
        <v>76</v>
      </c>
      <c r="B5" s="9">
        <v>2018</v>
      </c>
    </row>
    <row r="6" spans="1:3" ht="15" customHeight="1">
      <c r="A6" s="3"/>
      <c r="B6" s="4"/>
    </row>
    <row r="7" spans="1:3">
      <c r="A7" s="10"/>
    </row>
    <row r="8" spans="1:3" ht="18.5">
      <c r="A8" s="22" t="s">
        <v>98</v>
      </c>
      <c r="B8" s="23"/>
      <c r="C8" s="24"/>
    </row>
    <row r="9" spans="1:3">
      <c r="A9" s="294" t="s">
        <v>566</v>
      </c>
      <c r="B9" s="296" t="s">
        <v>567</v>
      </c>
      <c r="C9" s="297"/>
    </row>
    <row r="10" spans="1:3">
      <c r="A10" s="295" t="s">
        <v>566</v>
      </c>
      <c r="B10" s="296" t="s">
        <v>568</v>
      </c>
      <c r="C10" s="297"/>
    </row>
    <row r="11" spans="1:3">
      <c r="A11" s="288"/>
      <c r="B11" s="296" t="s">
        <v>569</v>
      </c>
      <c r="C11" s="297"/>
    </row>
    <row r="13" spans="1:3" ht="18.5">
      <c r="A13" s="22" t="s">
        <v>99</v>
      </c>
      <c r="B13" s="23"/>
      <c r="C13" s="24"/>
    </row>
    <row r="14" spans="1:3">
      <c r="A14" s="291"/>
      <c r="B14" s="25" t="s">
        <v>100</v>
      </c>
      <c r="C14" s="26"/>
    </row>
    <row r="15" spans="1:3">
      <c r="A15" s="293"/>
      <c r="B15" s="25" t="s">
        <v>564</v>
      </c>
      <c r="C15" s="26"/>
    </row>
    <row r="16" spans="1:3">
      <c r="A16" s="292"/>
      <c r="B16" s="25" t="s">
        <v>565</v>
      </c>
      <c r="C16" s="26"/>
    </row>
    <row r="18" spans="1:3" ht="21">
      <c r="A18" s="3" t="s">
        <v>34</v>
      </c>
    </row>
    <row r="19" spans="1:3">
      <c r="A19" s="290" t="s">
        <v>537</v>
      </c>
      <c r="B19" s="290" t="s">
        <v>538</v>
      </c>
      <c r="C19" s="290" t="s">
        <v>539</v>
      </c>
    </row>
    <row r="20" spans="1:3">
      <c r="A20" s="289" t="s">
        <v>535</v>
      </c>
      <c r="B20" s="185"/>
      <c r="C20" s="185"/>
    </row>
    <row r="21" spans="1:3">
      <c r="A21" s="5" t="s">
        <v>380</v>
      </c>
      <c r="C21" s="5" t="s">
        <v>400</v>
      </c>
    </row>
    <row r="22" spans="1:3">
      <c r="A22" s="10" t="s">
        <v>381</v>
      </c>
      <c r="B22" s="10"/>
      <c r="C22" s="10" t="s">
        <v>43</v>
      </c>
    </row>
    <row r="23" spans="1:3">
      <c r="A23" s="6" t="s">
        <v>159</v>
      </c>
    </row>
    <row r="24" spans="1:3">
      <c r="A24" s="5" t="s">
        <v>36</v>
      </c>
      <c r="C24" s="5" t="s">
        <v>37</v>
      </c>
    </row>
    <row r="25" spans="1:3">
      <c r="A25" s="5" t="s">
        <v>38</v>
      </c>
      <c r="C25" s="5" t="s">
        <v>39</v>
      </c>
    </row>
    <row r="26" spans="1:3">
      <c r="A26" s="5" t="s">
        <v>161</v>
      </c>
      <c r="C26" s="5" t="s">
        <v>35</v>
      </c>
    </row>
    <row r="27" spans="1:3">
      <c r="A27" s="6" t="s">
        <v>497</v>
      </c>
    </row>
    <row r="28" spans="1:3">
      <c r="A28" s="5" t="s">
        <v>382</v>
      </c>
      <c r="C28" s="5" t="s">
        <v>392</v>
      </c>
    </row>
    <row r="29" spans="1:3">
      <c r="A29" s="5" t="s">
        <v>163</v>
      </c>
      <c r="C29" s="5" t="s">
        <v>393</v>
      </c>
    </row>
    <row r="30" spans="1:3">
      <c r="A30" s="5" t="s">
        <v>394</v>
      </c>
      <c r="C30" s="5" t="s">
        <v>395</v>
      </c>
    </row>
    <row r="31" spans="1:3">
      <c r="A31" s="5" t="s">
        <v>396</v>
      </c>
      <c r="C31" s="5" t="s">
        <v>40</v>
      </c>
    </row>
    <row r="32" spans="1:3">
      <c r="A32" s="5" t="s">
        <v>439</v>
      </c>
      <c r="C32" s="5" t="s">
        <v>440</v>
      </c>
    </row>
    <row r="33" spans="1:3">
      <c r="A33" s="5" t="s">
        <v>472</v>
      </c>
      <c r="C33" s="5" t="s">
        <v>44</v>
      </c>
    </row>
    <row r="34" spans="1:3">
      <c r="A34" s="10" t="s">
        <v>473</v>
      </c>
      <c r="B34" s="10"/>
      <c r="C34" s="10" t="s">
        <v>69</v>
      </c>
    </row>
    <row r="35" spans="1:3">
      <c r="A35" s="6" t="s">
        <v>536</v>
      </c>
    </row>
    <row r="36" spans="1:3">
      <c r="A36" s="5" t="s">
        <v>3</v>
      </c>
      <c r="B36" s="5" t="s">
        <v>52</v>
      </c>
      <c r="C36" s="5" t="str">
        <f t="shared" ref="C36:C51" si="0">$C$4&amp;B36</f>
        <v>SRVCOA</v>
      </c>
    </row>
    <row r="37" spans="1:3">
      <c r="A37" s="5" t="s">
        <v>2</v>
      </c>
      <c r="B37" s="5" t="s">
        <v>2</v>
      </c>
      <c r="C37" s="5" t="str">
        <f t="shared" si="0"/>
        <v>SRVLPG</v>
      </c>
    </row>
    <row r="38" spans="1:3">
      <c r="A38" s="5" t="s">
        <v>68</v>
      </c>
      <c r="B38" s="5" t="s">
        <v>50</v>
      </c>
      <c r="C38" s="5" t="str">
        <f t="shared" si="0"/>
        <v>SRVOIL</v>
      </c>
    </row>
    <row r="39" spans="1:3">
      <c r="A39" s="5" t="s">
        <v>92</v>
      </c>
      <c r="B39" s="5" t="s">
        <v>48</v>
      </c>
      <c r="C39" s="5" t="str">
        <f t="shared" si="0"/>
        <v>SRVGAS</v>
      </c>
    </row>
    <row r="40" spans="1:3">
      <c r="A40" s="5" t="s">
        <v>385</v>
      </c>
      <c r="B40" s="5" t="s">
        <v>51</v>
      </c>
      <c r="C40" s="5" t="str">
        <f t="shared" si="0"/>
        <v>SRVBIO</v>
      </c>
    </row>
    <row r="41" spans="1:3">
      <c r="A41" s="5" t="s">
        <v>101</v>
      </c>
      <c r="B41" s="5" t="s">
        <v>102</v>
      </c>
      <c r="C41" s="5" t="str">
        <f t="shared" si="0"/>
        <v>SRVBGS</v>
      </c>
    </row>
    <row r="42" spans="1:3">
      <c r="A42" s="5" t="s">
        <v>41</v>
      </c>
      <c r="B42" s="5" t="s">
        <v>53</v>
      </c>
      <c r="C42" s="5" t="str">
        <f t="shared" si="0"/>
        <v>SRVSOL</v>
      </c>
    </row>
    <row r="43" spans="1:3">
      <c r="A43" s="5" t="s">
        <v>1</v>
      </c>
      <c r="B43" s="5" t="s">
        <v>47</v>
      </c>
      <c r="C43" s="5" t="str">
        <f t="shared" si="0"/>
        <v>SRVELC</v>
      </c>
    </row>
    <row r="44" spans="1:3">
      <c r="A44" s="5" t="s">
        <v>387</v>
      </c>
      <c r="B44" s="5" t="s">
        <v>386</v>
      </c>
      <c r="C44" s="5" t="str">
        <f t="shared" si="0"/>
        <v>SRVAHT</v>
      </c>
    </row>
    <row r="45" spans="1:3">
      <c r="A45" s="5" t="s">
        <v>589</v>
      </c>
      <c r="B45" s="5" t="s">
        <v>590</v>
      </c>
      <c r="C45" s="5" t="str">
        <f t="shared" si="0"/>
        <v>SRVAHT2</v>
      </c>
    </row>
    <row r="46" spans="1:3">
      <c r="A46" s="5" t="s">
        <v>546</v>
      </c>
      <c r="B46" s="5" t="s">
        <v>49</v>
      </c>
      <c r="C46" s="5" t="str">
        <f t="shared" si="0"/>
        <v>SRVHET</v>
      </c>
    </row>
    <row r="47" spans="1:3">
      <c r="A47" s="5" t="s">
        <v>104</v>
      </c>
      <c r="B47" s="5" t="s">
        <v>105</v>
      </c>
      <c r="C47" s="5" t="str">
        <f t="shared" si="0"/>
        <v>SRVWIN</v>
      </c>
    </row>
    <row r="48" spans="1:3">
      <c r="A48" s="5" t="s">
        <v>557</v>
      </c>
      <c r="B48" s="5" t="s">
        <v>556</v>
      </c>
      <c r="C48" s="5" t="str">
        <f t="shared" si="0"/>
        <v>SRVH2G</v>
      </c>
    </row>
    <row r="49" spans="1:3">
      <c r="A49" s="5" t="s">
        <v>558</v>
      </c>
      <c r="B49" s="5" t="s">
        <v>559</v>
      </c>
      <c r="C49" s="5" t="str">
        <f t="shared" si="0"/>
        <v>SRVH2L</v>
      </c>
    </row>
    <row r="50" spans="1:3">
      <c r="A50" s="5" t="s">
        <v>55</v>
      </c>
      <c r="B50" s="5" t="s">
        <v>103</v>
      </c>
      <c r="C50" s="5" t="str">
        <f t="shared" si="0"/>
        <v>SRVBDL</v>
      </c>
    </row>
    <row r="51" spans="1:3">
      <c r="A51" s="10" t="s">
        <v>561</v>
      </c>
      <c r="B51" s="10" t="s">
        <v>562</v>
      </c>
      <c r="C51" s="10" t="str">
        <f t="shared" si="0"/>
        <v>SRVETH</v>
      </c>
    </row>
    <row r="53" spans="1:3" ht="21">
      <c r="A53" s="3" t="s">
        <v>570</v>
      </c>
      <c r="B53" s="4"/>
    </row>
    <row r="54" spans="1:3" ht="15" thickBot="1">
      <c r="A54" s="21" t="s">
        <v>106</v>
      </c>
      <c r="B54" s="21" t="s">
        <v>42</v>
      </c>
      <c r="C54" s="21" t="s">
        <v>107</v>
      </c>
    </row>
    <row r="55" spans="1:3">
      <c r="A55" s="6" t="s">
        <v>108</v>
      </c>
      <c r="B55" s="62" t="s">
        <v>475</v>
      </c>
      <c r="C55" s="5" t="s">
        <v>571</v>
      </c>
    </row>
    <row r="56" spans="1:3">
      <c r="A56" s="6"/>
      <c r="B56" s="74" t="s">
        <v>180</v>
      </c>
      <c r="C56" s="5" t="s">
        <v>572</v>
      </c>
    </row>
    <row r="57" spans="1:3">
      <c r="A57" s="28" t="s">
        <v>109</v>
      </c>
      <c r="B57" s="62" t="s">
        <v>180</v>
      </c>
      <c r="C57" s="29" t="s">
        <v>181</v>
      </c>
    </row>
    <row r="58" spans="1:3">
      <c r="A58" s="30"/>
      <c r="B58" s="74" t="s">
        <v>122</v>
      </c>
      <c r="C58" s="31" t="s">
        <v>57</v>
      </c>
    </row>
    <row r="59" spans="1:3" ht="14.5" customHeight="1">
      <c r="A59" s="33" t="s">
        <v>110</v>
      </c>
      <c r="B59" s="62" t="s">
        <v>180</v>
      </c>
      <c r="C59" s="5" t="s">
        <v>573</v>
      </c>
    </row>
    <row r="60" spans="1:3" ht="29">
      <c r="A60" s="32"/>
      <c r="B60" s="78" t="s">
        <v>182</v>
      </c>
      <c r="C60" s="78" t="s">
        <v>574</v>
      </c>
    </row>
    <row r="61" spans="1:3">
      <c r="A61" s="63" t="s">
        <v>112</v>
      </c>
      <c r="B61" s="34" t="s">
        <v>183</v>
      </c>
      <c r="C61" s="10" t="s">
        <v>113</v>
      </c>
    </row>
    <row r="64" spans="1:3">
      <c r="A64" s="6" t="s">
        <v>167</v>
      </c>
    </row>
    <row r="65" spans="1:2">
      <c r="A65" s="185" t="s">
        <v>168</v>
      </c>
      <c r="B65" s="186">
        <v>4.1868000000000002E-2</v>
      </c>
    </row>
    <row r="66" spans="1:2">
      <c r="A66" s="10" t="s">
        <v>441</v>
      </c>
      <c r="B66" s="44">
        <f>3.6*10^-3</f>
        <v>3.6000000000000003E-3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5235-50BB-4593-A8D6-D20F0AA53105}">
  <sheetPr codeName="Sheet2">
    <tabColor theme="0" tint="-0.14999847407452621"/>
  </sheetPr>
  <dimension ref="A3:AD37"/>
  <sheetViews>
    <sheetView zoomScaleNormal="100" workbookViewId="0">
      <selection activeCell="M35" sqref="M35"/>
    </sheetView>
  </sheetViews>
  <sheetFormatPr defaultColWidth="9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" bestFit="1" customWidth="1"/>
    <col min="14" max="14" width="6.7265625" bestFit="1" customWidth="1"/>
    <col min="15" max="15" width="6.54296875" bestFit="1" customWidth="1"/>
    <col min="16" max="16" width="7.1796875" bestFit="1" customWidth="1"/>
    <col min="17" max="17" width="5.7265625" bestFit="1" customWidth="1"/>
    <col min="18" max="18" width="6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5" bestFit="1" customWidth="1"/>
    <col min="24" max="24" width="7.54296875" customWidth="1"/>
    <col min="25" max="25" width="6.7265625" bestFit="1" customWidth="1"/>
    <col min="26" max="28" width="6" bestFit="1" customWidth="1"/>
    <col min="29" max="29" width="5.7265625" bestFit="1" customWidth="1"/>
    <col min="30" max="30" width="6.7265625" bestFit="1" customWidth="1"/>
  </cols>
  <sheetData>
    <row r="3" spans="1:30">
      <c r="C3" s="90" t="str" cm="1">
        <f t="array" ref="C3">INDEX(C5:C7,$A$4)</f>
        <v>IE</v>
      </c>
      <c r="D3" s="90" t="str" cm="1">
        <f t="array" ref="D3">INDEX(D5:D7,$A$4)</f>
        <v>National</v>
      </c>
      <c r="E3" s="90" t="str" cm="1">
        <f t="array" ref="E3">INDEX(E5:E7,$A$4)</f>
        <v>IE-CW</v>
      </c>
      <c r="F3" s="90" t="str" cm="1">
        <f t="array" ref="F3">INDEX(F5:F7,$A$4)</f>
        <v>IE-D</v>
      </c>
      <c r="G3" s="90" t="str" cm="1">
        <f t="array" ref="G3">INDEX(G5:G7,$A$4)</f>
        <v>IE-KE</v>
      </c>
      <c r="H3" s="90" t="str" cm="1">
        <f t="array" ref="H3">INDEX(H5:H7,$A$4)</f>
        <v>IE-KK</v>
      </c>
      <c r="I3" s="90" t="str" cm="1">
        <f t="array" ref="I3">INDEX(I5:I7,$A$4)</f>
        <v>IE-LS</v>
      </c>
      <c r="J3" s="90" t="str" cm="1">
        <f t="array" ref="J3">INDEX(J5:J7,$A$4)</f>
        <v>IE-LD</v>
      </c>
      <c r="K3" s="90" t="str" cm="1">
        <f t="array" ref="K3">INDEX(K5:K7,$A$4)</f>
        <v>IE-LH</v>
      </c>
      <c r="L3" s="90" t="str" cm="1">
        <f t="array" ref="L3">INDEX(L5:L7,$A$4)</f>
        <v>IE-MH</v>
      </c>
      <c r="M3" s="90" t="str" cm="1">
        <f t="array" ref="M3">INDEX(M5:M7,$A$4)</f>
        <v>IE-OY</v>
      </c>
      <c r="N3" s="90" t="str" cm="1">
        <f t="array" ref="N3">INDEX(N5:N7,$A$4)</f>
        <v>IE-WH</v>
      </c>
      <c r="O3" s="90" t="str" cm="1">
        <f t="array" ref="O3">INDEX(O5:O7,$A$4)</f>
        <v>IE-WX</v>
      </c>
      <c r="P3" s="90" t="str" cm="1">
        <f t="array" ref="P3">INDEX(P5:P7,$A$4)</f>
        <v>IE-WW</v>
      </c>
      <c r="Q3" s="90" t="str" cm="1">
        <f t="array" ref="Q3">INDEX(Q5:Q7,$A$4)</f>
        <v>IE-CE</v>
      </c>
      <c r="R3" s="90" t="str" cm="1">
        <f t="array" ref="R3">INDEX(R5:R7,$A$4)</f>
        <v>IE-CO</v>
      </c>
      <c r="S3" s="90" t="str" cm="1">
        <f t="array" ref="S3">INDEX(S5:S7,$A$4)</f>
        <v>IE-KY</v>
      </c>
      <c r="T3" s="90" t="str" cm="1">
        <f t="array" ref="T3">INDEX(T5:T7,$A$4)</f>
        <v>IE-LK</v>
      </c>
      <c r="U3" s="90" t="str" cm="1">
        <f t="array" ref="U3">INDEX(U5:U7,$A$4)</f>
        <v>IE-TA</v>
      </c>
      <c r="V3" s="90" t="str" cm="1">
        <f t="array" ref="V3">INDEX(V5:V7,$A$4)</f>
        <v>IE-WD</v>
      </c>
      <c r="W3" s="90" t="str" cm="1">
        <f t="array" ref="W3">INDEX(W5:W7,$A$4)</f>
        <v>IE-G</v>
      </c>
      <c r="X3" s="90" t="str" cm="1">
        <f t="array" ref="X3">INDEX(X5:X7,$A$4)</f>
        <v>IE-LM</v>
      </c>
      <c r="Y3" s="90" t="str" cm="1">
        <f t="array" ref="Y3">INDEX(Y5:Y7,$A$4)</f>
        <v>IE-MO</v>
      </c>
      <c r="Z3" s="90" t="str" cm="1">
        <f t="array" ref="Z3">INDEX(Z5:Z7,$A$4)</f>
        <v>IE-RN</v>
      </c>
      <c r="AA3" s="90" t="str" cm="1">
        <f t="array" ref="AA3">INDEX(AA5:AA7,$A$4)</f>
        <v>IE-SO</v>
      </c>
      <c r="AB3" s="90" t="str" cm="1">
        <f t="array" ref="AB3">INDEX(AB5:AB7,$A$4)</f>
        <v>IE-CN</v>
      </c>
      <c r="AC3" s="90" t="str" cm="1">
        <f t="array" ref="AC3">INDEX(AC5:AC7,$A$4)</f>
        <v>IE-DL</v>
      </c>
      <c r="AD3" s="90" t="str" cm="1">
        <f t="array" ref="AD3">INDEX(AD5:AD7,$A$4)</f>
        <v>IE-MN</v>
      </c>
    </row>
    <row r="4" spans="1:30">
      <c r="A4">
        <v>1</v>
      </c>
    </row>
    <row r="5" spans="1:30">
      <c r="A5" t="s">
        <v>314</v>
      </c>
      <c r="C5" s="91" t="s">
        <v>187</v>
      </c>
      <c r="D5" s="91" t="s">
        <v>315</v>
      </c>
      <c r="E5" s="90" t="str">
        <f>A11</f>
        <v>IE-CW</v>
      </c>
      <c r="F5" s="90" t="str">
        <f>A16</f>
        <v>IE-D</v>
      </c>
      <c r="G5" s="90" t="str">
        <f>A19</f>
        <v>IE-KE</v>
      </c>
      <c r="H5" s="90" t="str">
        <f>A20</f>
        <v>IE-KK</v>
      </c>
      <c r="I5" s="90" t="str">
        <f>A21</f>
        <v>IE-LS</v>
      </c>
      <c r="J5" s="90" t="str">
        <f>A24</f>
        <v>IE-LD</v>
      </c>
      <c r="K5" s="90" t="str">
        <f>A25</f>
        <v>IE-LH</v>
      </c>
      <c r="L5" s="90" t="str">
        <f>A27</f>
        <v>IE-MH</v>
      </c>
      <c r="M5" s="90" t="str">
        <f>A29</f>
        <v>IE-OY</v>
      </c>
      <c r="N5" s="90" t="str">
        <f>A34</f>
        <v>IE-WH</v>
      </c>
      <c r="O5" s="90" t="str">
        <f>A35</f>
        <v>IE-WX</v>
      </c>
      <c r="P5" s="90" t="str">
        <f>A36</f>
        <v>IE-WW</v>
      </c>
      <c r="Q5" s="90" t="str">
        <f>A13</f>
        <v>IE-CE</v>
      </c>
      <c r="R5" s="90" t="str">
        <f>A14</f>
        <v>IE-CO</v>
      </c>
      <c r="S5" s="90" t="str">
        <f>A18</f>
        <v>IE-KY</v>
      </c>
      <c r="T5" s="90" t="str">
        <f>A23</f>
        <v>IE-LK</v>
      </c>
      <c r="U5" s="90" t="str">
        <f>A32</f>
        <v>IE-TA</v>
      </c>
      <c r="V5" s="90" t="str">
        <f>A33</f>
        <v>IE-WD</v>
      </c>
      <c r="W5" s="90" t="str">
        <f>A17</f>
        <v>IE-G</v>
      </c>
      <c r="X5" s="90" t="str">
        <f>A22</f>
        <v>IE-LM</v>
      </c>
      <c r="Y5" s="90" t="str">
        <f>A26</f>
        <v>IE-MO</v>
      </c>
      <c r="Z5" s="90" t="str">
        <f>A30</f>
        <v>IE-RN</v>
      </c>
      <c r="AA5" s="90" t="str">
        <f>A31</f>
        <v>IE-SO</v>
      </c>
      <c r="AB5" s="90" t="str">
        <f>A12</f>
        <v>IE-CN</v>
      </c>
      <c r="AC5" s="90" t="str">
        <f>A15</f>
        <v>IE-DL</v>
      </c>
      <c r="AD5" s="90" t="str">
        <f>A28</f>
        <v>IE-MN</v>
      </c>
    </row>
    <row r="6" spans="1:30">
      <c r="A6" t="s">
        <v>316</v>
      </c>
      <c r="C6" s="90" t="str">
        <f>C5</f>
        <v>IE</v>
      </c>
      <c r="D6" s="90" t="str">
        <f>"*"&amp;D5</f>
        <v>*National</v>
      </c>
      <c r="E6" s="90" t="str">
        <f>"*"&amp;E5</f>
        <v>*IE-CW</v>
      </c>
      <c r="F6" s="90" t="str">
        <f t="shared" ref="F6:AD6" si="0">"*"&amp;F5</f>
        <v>*IE-D</v>
      </c>
      <c r="G6" s="90" t="str">
        <f t="shared" si="0"/>
        <v>*IE-KE</v>
      </c>
      <c r="H6" s="90" t="str">
        <f t="shared" si="0"/>
        <v>*IE-KK</v>
      </c>
      <c r="I6" s="90" t="str">
        <f t="shared" si="0"/>
        <v>*IE-LS</v>
      </c>
      <c r="J6" s="90" t="str">
        <f t="shared" si="0"/>
        <v>*IE-LD</v>
      </c>
      <c r="K6" s="90" t="str">
        <f t="shared" si="0"/>
        <v>*IE-LH</v>
      </c>
      <c r="L6" s="90" t="str">
        <f t="shared" si="0"/>
        <v>*IE-MH</v>
      </c>
      <c r="M6" s="90" t="str">
        <f t="shared" si="0"/>
        <v>*IE-OY</v>
      </c>
      <c r="N6" s="90" t="str">
        <f t="shared" si="0"/>
        <v>*IE-WH</v>
      </c>
      <c r="O6" s="90" t="str">
        <f t="shared" si="0"/>
        <v>*IE-WX</v>
      </c>
      <c r="P6" s="90" t="str">
        <f t="shared" si="0"/>
        <v>*IE-WW</v>
      </c>
      <c r="Q6" s="90" t="str">
        <f t="shared" si="0"/>
        <v>*IE-CE</v>
      </c>
      <c r="R6" s="90" t="str">
        <f t="shared" si="0"/>
        <v>*IE-CO</v>
      </c>
      <c r="S6" s="90" t="str">
        <f t="shared" si="0"/>
        <v>*IE-KY</v>
      </c>
      <c r="T6" s="90" t="str">
        <f t="shared" si="0"/>
        <v>*IE-LK</v>
      </c>
      <c r="U6" s="90" t="str">
        <f t="shared" si="0"/>
        <v>*IE-TA</v>
      </c>
      <c r="V6" s="90" t="str">
        <f t="shared" si="0"/>
        <v>*IE-WD</v>
      </c>
      <c r="W6" s="90" t="str">
        <f t="shared" si="0"/>
        <v>*IE-G</v>
      </c>
      <c r="X6" s="90" t="str">
        <f t="shared" si="0"/>
        <v>*IE-LM</v>
      </c>
      <c r="Y6" s="90" t="str">
        <f t="shared" si="0"/>
        <v>*IE-MO</v>
      </c>
      <c r="Z6" s="90" t="str">
        <f t="shared" si="0"/>
        <v>*IE-RN</v>
      </c>
      <c r="AA6" s="90" t="str">
        <f t="shared" si="0"/>
        <v>*IE-SO</v>
      </c>
      <c r="AB6" s="90" t="str">
        <f t="shared" si="0"/>
        <v>*IE-CN</v>
      </c>
      <c r="AC6" s="90" t="str">
        <f t="shared" si="0"/>
        <v>*IE-DL</v>
      </c>
      <c r="AD6" s="90" t="str">
        <f t="shared" si="0"/>
        <v>*IE-MN</v>
      </c>
    </row>
    <row r="7" spans="1:30">
      <c r="A7" t="s">
        <v>317</v>
      </c>
      <c r="C7" s="90" t="str">
        <f>"*"&amp;C5</f>
        <v>*IE</v>
      </c>
      <c r="D7" s="90" t="str">
        <f>D5</f>
        <v>National</v>
      </c>
      <c r="E7" s="90" t="str">
        <f t="shared" ref="E7:AD7" si="1">E5</f>
        <v>IE-CW</v>
      </c>
      <c r="F7" s="90" t="str">
        <f t="shared" si="1"/>
        <v>IE-D</v>
      </c>
      <c r="G7" s="90" t="str">
        <f t="shared" si="1"/>
        <v>IE-KE</v>
      </c>
      <c r="H7" s="90" t="str">
        <f t="shared" si="1"/>
        <v>IE-KK</v>
      </c>
      <c r="I7" s="90" t="str">
        <f t="shared" si="1"/>
        <v>IE-LS</v>
      </c>
      <c r="J7" s="90" t="str">
        <f t="shared" si="1"/>
        <v>IE-LD</v>
      </c>
      <c r="K7" s="90" t="str">
        <f t="shared" si="1"/>
        <v>IE-LH</v>
      </c>
      <c r="L7" s="90" t="str">
        <f t="shared" si="1"/>
        <v>IE-MH</v>
      </c>
      <c r="M7" s="90" t="str">
        <f t="shared" si="1"/>
        <v>IE-OY</v>
      </c>
      <c r="N7" s="90" t="str">
        <f t="shared" si="1"/>
        <v>IE-WH</v>
      </c>
      <c r="O7" s="90" t="str">
        <f t="shared" si="1"/>
        <v>IE-WX</v>
      </c>
      <c r="P7" s="90" t="str">
        <f t="shared" si="1"/>
        <v>IE-WW</v>
      </c>
      <c r="Q7" s="90" t="str">
        <f t="shared" si="1"/>
        <v>IE-CE</v>
      </c>
      <c r="R7" s="90" t="str">
        <f t="shared" si="1"/>
        <v>IE-CO</v>
      </c>
      <c r="S7" s="90" t="str">
        <f t="shared" si="1"/>
        <v>IE-KY</v>
      </c>
      <c r="T7" s="90" t="str">
        <f t="shared" si="1"/>
        <v>IE-LK</v>
      </c>
      <c r="U7" s="90" t="str">
        <f t="shared" si="1"/>
        <v>IE-TA</v>
      </c>
      <c r="V7" s="90" t="str">
        <f t="shared" si="1"/>
        <v>IE-WD</v>
      </c>
      <c r="W7" s="90" t="str">
        <f t="shared" si="1"/>
        <v>IE-G</v>
      </c>
      <c r="X7" s="90" t="str">
        <f t="shared" si="1"/>
        <v>IE-LM</v>
      </c>
      <c r="Y7" s="90" t="str">
        <f t="shared" si="1"/>
        <v>IE-MO</v>
      </c>
      <c r="Z7" s="90" t="str">
        <f t="shared" si="1"/>
        <v>IE-RN</v>
      </c>
      <c r="AA7" s="90" t="str">
        <f t="shared" si="1"/>
        <v>IE-SO</v>
      </c>
      <c r="AB7" s="90" t="str">
        <f t="shared" si="1"/>
        <v>IE-CN</v>
      </c>
      <c r="AC7" s="90" t="str">
        <f t="shared" si="1"/>
        <v>IE-DL</v>
      </c>
      <c r="AD7" s="90" t="str">
        <f t="shared" si="1"/>
        <v>IE-MN</v>
      </c>
    </row>
    <row r="10" spans="1:30" ht="15" thickBot="1">
      <c r="A10" s="92" t="s">
        <v>318</v>
      </c>
      <c r="B10" s="92" t="s">
        <v>319</v>
      </c>
    </row>
    <row r="11" spans="1:30">
      <c r="A11" s="93" t="s">
        <v>320</v>
      </c>
      <c r="B11" s="93" t="s">
        <v>321</v>
      </c>
    </row>
    <row r="12" spans="1:30">
      <c r="A12" s="94" t="s">
        <v>322</v>
      </c>
      <c r="B12" s="94" t="s">
        <v>323</v>
      </c>
    </row>
    <row r="13" spans="1:30">
      <c r="A13" s="94" t="s">
        <v>324</v>
      </c>
      <c r="B13" s="94" t="s">
        <v>325</v>
      </c>
    </row>
    <row r="14" spans="1:30">
      <c r="A14" s="94" t="s">
        <v>326</v>
      </c>
      <c r="B14" s="94" t="s">
        <v>327</v>
      </c>
    </row>
    <row r="15" spans="1:30">
      <c r="A15" s="94" t="s">
        <v>328</v>
      </c>
      <c r="B15" s="94" t="s">
        <v>329</v>
      </c>
    </row>
    <row r="16" spans="1:30">
      <c r="A16" s="94" t="s">
        <v>330</v>
      </c>
      <c r="B16" s="94" t="s">
        <v>331</v>
      </c>
    </row>
    <row r="17" spans="1:2">
      <c r="A17" s="94" t="s">
        <v>332</v>
      </c>
      <c r="B17" s="94" t="s">
        <v>333</v>
      </c>
    </row>
    <row r="18" spans="1:2">
      <c r="A18" s="94" t="s">
        <v>334</v>
      </c>
      <c r="B18" s="94" t="s">
        <v>335</v>
      </c>
    </row>
    <row r="19" spans="1:2">
      <c r="A19" s="94" t="s">
        <v>336</v>
      </c>
      <c r="B19" s="94" t="s">
        <v>337</v>
      </c>
    </row>
    <row r="20" spans="1:2">
      <c r="A20" s="94" t="s">
        <v>338</v>
      </c>
      <c r="B20" s="94" t="s">
        <v>339</v>
      </c>
    </row>
    <row r="21" spans="1:2">
      <c r="A21" s="94" t="s">
        <v>340</v>
      </c>
      <c r="B21" s="94" t="s">
        <v>341</v>
      </c>
    </row>
    <row r="22" spans="1:2">
      <c r="A22" s="94" t="s">
        <v>342</v>
      </c>
      <c r="B22" s="94" t="s">
        <v>343</v>
      </c>
    </row>
    <row r="23" spans="1:2">
      <c r="A23" s="94" t="s">
        <v>344</v>
      </c>
      <c r="B23" s="94" t="s">
        <v>345</v>
      </c>
    </row>
    <row r="24" spans="1:2">
      <c r="A24" s="94" t="s">
        <v>346</v>
      </c>
      <c r="B24" s="94" t="s">
        <v>347</v>
      </c>
    </row>
    <row r="25" spans="1:2">
      <c r="A25" s="94" t="s">
        <v>348</v>
      </c>
      <c r="B25" s="94" t="s">
        <v>349</v>
      </c>
    </row>
    <row r="26" spans="1:2">
      <c r="A26" s="94" t="s">
        <v>350</v>
      </c>
      <c r="B26" s="94" t="s">
        <v>351</v>
      </c>
    </row>
    <row r="27" spans="1:2">
      <c r="A27" s="94" t="s">
        <v>352</v>
      </c>
      <c r="B27" s="94" t="s">
        <v>353</v>
      </c>
    </row>
    <row r="28" spans="1:2">
      <c r="A28" s="94" t="s">
        <v>354</v>
      </c>
      <c r="B28" s="94" t="s">
        <v>355</v>
      </c>
    </row>
    <row r="29" spans="1:2">
      <c r="A29" s="94" t="s">
        <v>356</v>
      </c>
      <c r="B29" s="94" t="s">
        <v>357</v>
      </c>
    </row>
    <row r="30" spans="1:2">
      <c r="A30" s="94" t="s">
        <v>358</v>
      </c>
      <c r="B30" s="94" t="s">
        <v>359</v>
      </c>
    </row>
    <row r="31" spans="1:2">
      <c r="A31" s="94" t="s">
        <v>360</v>
      </c>
      <c r="B31" s="94" t="s">
        <v>361</v>
      </c>
    </row>
    <row r="32" spans="1:2">
      <c r="A32" s="94" t="s">
        <v>362</v>
      </c>
      <c r="B32" s="94" t="s">
        <v>363</v>
      </c>
    </row>
    <row r="33" spans="1:2">
      <c r="A33" s="94" t="s">
        <v>364</v>
      </c>
      <c r="B33" s="94" t="s">
        <v>365</v>
      </c>
    </row>
    <row r="34" spans="1:2">
      <c r="A34" s="94" t="s">
        <v>366</v>
      </c>
      <c r="B34" s="94" t="s">
        <v>367</v>
      </c>
    </row>
    <row r="35" spans="1:2">
      <c r="A35" s="94" t="s">
        <v>368</v>
      </c>
      <c r="B35" s="94" t="s">
        <v>369</v>
      </c>
    </row>
    <row r="36" spans="1:2">
      <c r="A36" s="94" t="s">
        <v>370</v>
      </c>
      <c r="B36" s="94" t="s">
        <v>371</v>
      </c>
    </row>
    <row r="37" spans="1:2">
      <c r="A37" s="95" t="s">
        <v>372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7EBF-7AD6-40F9-8139-45D8DF5A53FA}">
  <sheetPr codeName="Sheet3">
    <tabColor theme="4" tint="0.59999389629810485"/>
  </sheetPr>
  <dimension ref="A1:AR97"/>
  <sheetViews>
    <sheetView showGridLines="0" topLeftCell="A30" zoomScaleNormal="100" workbookViewId="0">
      <selection activeCell="G48" sqref="G48"/>
    </sheetView>
  </sheetViews>
  <sheetFormatPr defaultColWidth="8.81640625" defaultRowHeight="14.5"/>
  <cols>
    <col min="1" max="1" width="3.453125" style="5" customWidth="1"/>
    <col min="2" max="2" width="40.26953125" style="5" customWidth="1"/>
    <col min="3" max="3" width="18.453125" style="5" customWidth="1"/>
    <col min="4" max="44" width="12.7265625" style="106" customWidth="1"/>
    <col min="45" max="16384" width="8.81640625" style="5"/>
  </cols>
  <sheetData>
    <row r="1" spans="1:44" ht="23.5">
      <c r="B1" s="11" t="s">
        <v>563</v>
      </c>
    </row>
    <row r="2" spans="1:44" customFormat="1"/>
    <row r="3" spans="1:44" s="100" customFormat="1" ht="15" customHeight="1">
      <c r="A3" s="5"/>
      <c r="B3" s="6" t="s">
        <v>373</v>
      </c>
      <c r="C3" s="6" t="s">
        <v>383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7"/>
      <c r="AC3" s="96"/>
      <c r="AD3" s="96"/>
      <c r="AE3" s="96"/>
      <c r="AF3" s="96"/>
      <c r="AG3" s="96"/>
      <c r="AH3" s="96"/>
      <c r="AI3" s="96"/>
      <c r="AJ3" s="96"/>
      <c r="AK3" s="96"/>
      <c r="AL3" s="98"/>
      <c r="AM3" s="96"/>
      <c r="AN3" s="96"/>
      <c r="AO3" s="99"/>
      <c r="AP3" s="99"/>
      <c r="AQ3" s="99"/>
      <c r="AR3" s="99"/>
    </row>
    <row r="4" spans="1:44" ht="44" thickBot="1">
      <c r="B4" s="101"/>
      <c r="C4" s="101"/>
      <c r="D4" s="102" t="s">
        <v>191</v>
      </c>
      <c r="E4" s="102" t="s">
        <v>192</v>
      </c>
      <c r="F4" s="102" t="s">
        <v>193</v>
      </c>
      <c r="G4" s="102" t="s">
        <v>194</v>
      </c>
      <c r="H4" s="102" t="s">
        <v>195</v>
      </c>
      <c r="I4" s="102" t="s">
        <v>196</v>
      </c>
      <c r="J4" s="102" t="s">
        <v>197</v>
      </c>
      <c r="K4" s="102" t="s">
        <v>198</v>
      </c>
      <c r="L4" s="102" t="s">
        <v>199</v>
      </c>
      <c r="M4" s="102" t="s">
        <v>200</v>
      </c>
      <c r="N4" s="102" t="s">
        <v>201</v>
      </c>
      <c r="O4" s="102" t="s">
        <v>202</v>
      </c>
      <c r="P4" s="102" t="s">
        <v>203</v>
      </c>
      <c r="Q4" s="102" t="s">
        <v>204</v>
      </c>
      <c r="R4" s="102" t="s">
        <v>205</v>
      </c>
      <c r="S4" s="102" t="s">
        <v>206</v>
      </c>
      <c r="T4" s="102" t="s">
        <v>207</v>
      </c>
      <c r="U4" s="102" t="s">
        <v>208</v>
      </c>
      <c r="V4" s="102" t="s">
        <v>209</v>
      </c>
      <c r="W4" s="102" t="s">
        <v>210</v>
      </c>
      <c r="X4" s="102" t="s">
        <v>211</v>
      </c>
      <c r="Y4" s="102" t="s">
        <v>212</v>
      </c>
      <c r="Z4" s="102" t="s">
        <v>213</v>
      </c>
      <c r="AA4" s="102" t="s">
        <v>214</v>
      </c>
      <c r="AB4" s="102" t="s">
        <v>215</v>
      </c>
      <c r="AC4" s="102" t="s">
        <v>216</v>
      </c>
      <c r="AD4" s="102" t="s">
        <v>217</v>
      </c>
      <c r="AE4" s="102" t="s">
        <v>218</v>
      </c>
      <c r="AF4" s="102" t="s">
        <v>219</v>
      </c>
      <c r="AG4" s="102" t="s">
        <v>220</v>
      </c>
      <c r="AH4" s="102" t="s">
        <v>221</v>
      </c>
      <c r="AI4" s="102" t="s">
        <v>222</v>
      </c>
      <c r="AJ4" s="102" t="s">
        <v>223</v>
      </c>
      <c r="AK4" s="102" t="s">
        <v>224</v>
      </c>
      <c r="AL4" s="102" t="s">
        <v>225</v>
      </c>
      <c r="AM4" s="102" t="s">
        <v>226</v>
      </c>
      <c r="AN4" s="102" t="s">
        <v>227</v>
      </c>
      <c r="AO4" s="102" t="s">
        <v>228</v>
      </c>
      <c r="AP4" s="102" t="s">
        <v>229</v>
      </c>
      <c r="AQ4" s="102" t="s">
        <v>230</v>
      </c>
      <c r="AR4" s="102" t="s">
        <v>231</v>
      </c>
    </row>
    <row r="5" spans="1:44" s="100" customFormat="1" ht="30" customHeight="1">
      <c r="B5" s="113" t="s">
        <v>56</v>
      </c>
      <c r="C5" s="123"/>
      <c r="D5" s="117">
        <f>'EB2018'!C57</f>
        <v>0.5629153383458646</v>
      </c>
      <c r="E5" s="117">
        <f>'EB2018'!D57</f>
        <v>0.5629153383458646</v>
      </c>
      <c r="F5" s="117">
        <f>'EB2018'!E57</f>
        <v>0</v>
      </c>
      <c r="G5" s="117">
        <f>'EB2018'!F57</f>
        <v>0</v>
      </c>
      <c r="H5" s="117">
        <f>'EB2018'!G57</f>
        <v>0</v>
      </c>
      <c r="I5" s="117">
        <f>'EB2018'!H57</f>
        <v>0</v>
      </c>
      <c r="J5" s="117">
        <f>'EB2018'!I57</f>
        <v>0</v>
      </c>
      <c r="K5" s="117">
        <f>'EB2018'!J57</f>
        <v>0</v>
      </c>
      <c r="L5" s="117">
        <f>'EB2018'!K57</f>
        <v>0</v>
      </c>
      <c r="M5" s="117">
        <f>'EB2018'!L57</f>
        <v>234.63379710333268</v>
      </c>
      <c r="N5" s="117">
        <f>'EB2018'!M57</f>
        <v>0</v>
      </c>
      <c r="O5" s="117">
        <f>'EB2018'!N57</f>
        <v>0</v>
      </c>
      <c r="P5" s="117">
        <f>'EB2018'!O57</f>
        <v>0</v>
      </c>
      <c r="Q5" s="117">
        <f>'EB2018'!P57</f>
        <v>0</v>
      </c>
      <c r="R5" s="117">
        <f>'EB2018'!Q57</f>
        <v>61.585999999999999</v>
      </c>
      <c r="S5" s="117">
        <f>'EB2018'!R57</f>
        <v>0</v>
      </c>
      <c r="T5" s="117">
        <f>'EB2018'!S57</f>
        <v>0.64284746861564912</v>
      </c>
      <c r="U5" s="117">
        <f>'EB2018'!T57</f>
        <v>66.499949634717041</v>
      </c>
      <c r="V5" s="117">
        <f>'EB2018'!U57</f>
        <v>105.905</v>
      </c>
      <c r="W5" s="117">
        <f>'EB2018'!V57</f>
        <v>0</v>
      </c>
      <c r="X5" s="117">
        <f>'EB2018'!W57</f>
        <v>0</v>
      </c>
      <c r="Y5" s="117">
        <f>'EB2018'!X57</f>
        <v>0</v>
      </c>
      <c r="Z5" s="117">
        <f>'EB2018'!Y57</f>
        <v>0</v>
      </c>
      <c r="AA5" s="117">
        <f>'EB2018'!Z57</f>
        <v>0</v>
      </c>
      <c r="AB5" s="117">
        <f>'EB2018'!AA57</f>
        <v>343.97729138913144</v>
      </c>
      <c r="AC5" s="117">
        <f>'EB2018'!AB57</f>
        <v>39.433814247868156</v>
      </c>
      <c r="AD5" s="117">
        <f>'EB2018'!AC57</f>
        <v>0</v>
      </c>
      <c r="AE5" s="117">
        <f>'EB2018'!AD57</f>
        <v>0</v>
      </c>
      <c r="AF5" s="117">
        <f>'EB2018'!AE57</f>
        <v>17.993123247239996</v>
      </c>
      <c r="AG5" s="117">
        <f>'EB2018'!AF57</f>
        <v>0</v>
      </c>
      <c r="AH5" s="117">
        <f>'EB2018'!AG57</f>
        <v>0</v>
      </c>
      <c r="AI5" s="117">
        <f>'EB2018'!AH57</f>
        <v>5.621744734795584</v>
      </c>
      <c r="AJ5" s="117">
        <f>'EB2018'!AI57</f>
        <v>0</v>
      </c>
      <c r="AK5" s="117">
        <f>'EB2018'!AJ57</f>
        <v>0</v>
      </c>
      <c r="AL5" s="117">
        <f>'EB2018'!AK57</f>
        <v>0</v>
      </c>
      <c r="AM5" s="117">
        <f>'EB2018'!AL57</f>
        <v>0.16649466165720572</v>
      </c>
      <c r="AN5" s="117">
        <f>'EB2018'!AM57</f>
        <v>15.65245160417537</v>
      </c>
      <c r="AO5" s="117">
        <f>'EB2018'!AN57</f>
        <v>0</v>
      </c>
      <c r="AP5" s="117">
        <f>'EB2018'!AO57</f>
        <v>1083.6850200095046</v>
      </c>
      <c r="AQ5" s="117">
        <f>'EB2018'!AP57</f>
        <v>0</v>
      </c>
      <c r="AR5" s="117">
        <f>'EB2018'!AQ57</f>
        <v>1702.2928380881826</v>
      </c>
    </row>
    <row r="6" spans="1:44" s="100" customFormat="1" ht="30" customHeight="1">
      <c r="B6" s="143" t="s">
        <v>380</v>
      </c>
      <c r="D6" s="118">
        <f>'EB2018'!C58</f>
        <v>0.56091563909774433</v>
      </c>
      <c r="E6" s="118">
        <f>'EB2018'!D58</f>
        <v>0.56091563909774433</v>
      </c>
      <c r="F6" s="118">
        <f>'EB2018'!E58</f>
        <v>0</v>
      </c>
      <c r="G6" s="118">
        <f>'EB2018'!F58</f>
        <v>0</v>
      </c>
      <c r="H6" s="118">
        <f>'EB2018'!G58</f>
        <v>0</v>
      </c>
      <c r="I6" s="118">
        <f>'EB2018'!H58</f>
        <v>0</v>
      </c>
      <c r="J6" s="118">
        <f>'EB2018'!I58</f>
        <v>0</v>
      </c>
      <c r="K6" s="118">
        <f>'EB2018'!J58</f>
        <v>0</v>
      </c>
      <c r="L6" s="118">
        <f>'EB2018'!K58</f>
        <v>0</v>
      </c>
      <c r="M6" s="118">
        <f>'EB2018'!L58</f>
        <v>112.21994620323474</v>
      </c>
      <c r="N6" s="118">
        <f>'EB2018'!M58</f>
        <v>0</v>
      </c>
      <c r="O6" s="118">
        <f>'EB2018'!N58</f>
        <v>0</v>
      </c>
      <c r="P6" s="118">
        <f>'EB2018'!O58</f>
        <v>0</v>
      </c>
      <c r="Q6" s="118">
        <f>'EB2018'!P58</f>
        <v>0</v>
      </c>
      <c r="R6" s="118">
        <f>'EB2018'!Q58</f>
        <v>15.885000000000002</v>
      </c>
      <c r="S6" s="118">
        <f>'EB2018'!R58</f>
        <v>0</v>
      </c>
      <c r="T6" s="118">
        <f>'EB2018'!S58</f>
        <v>0</v>
      </c>
      <c r="U6" s="118">
        <f>'EB2018'!T58</f>
        <v>44.474946203234737</v>
      </c>
      <c r="V6" s="118">
        <f>'EB2018'!U58</f>
        <v>51.86</v>
      </c>
      <c r="W6" s="118">
        <f>'EB2018'!V58</f>
        <v>0</v>
      </c>
      <c r="X6" s="118">
        <f>'EB2018'!W58</f>
        <v>0</v>
      </c>
      <c r="Y6" s="118">
        <f>'EB2018'!X58</f>
        <v>0</v>
      </c>
      <c r="Z6" s="118">
        <f>'EB2018'!Y58</f>
        <v>0</v>
      </c>
      <c r="AA6" s="118">
        <f>'EB2018'!Z58</f>
        <v>0</v>
      </c>
      <c r="AB6" s="118">
        <f>'EB2018'!AA58</f>
        <v>217.21020814610509</v>
      </c>
      <c r="AC6" s="118">
        <f>'EB2018'!AB58</f>
        <v>23.753095666414968</v>
      </c>
      <c r="AD6" s="118">
        <f>'EB2018'!AC58</f>
        <v>0</v>
      </c>
      <c r="AE6" s="118">
        <f>'EB2018'!AD58</f>
        <v>0</v>
      </c>
      <c r="AF6" s="118">
        <f>'EB2018'!AE58</f>
        <v>7.1297186461823907</v>
      </c>
      <c r="AG6" s="118">
        <f>'EB2018'!AF58</f>
        <v>0</v>
      </c>
      <c r="AH6" s="118">
        <f>'EB2018'!AG58</f>
        <v>0</v>
      </c>
      <c r="AI6" s="118">
        <f>'EB2018'!AH58</f>
        <v>0.80443075440000011</v>
      </c>
      <c r="AJ6" s="118">
        <f>'EB2018'!AI58</f>
        <v>0</v>
      </c>
      <c r="AK6" s="118">
        <f>'EB2018'!AJ58</f>
        <v>0</v>
      </c>
      <c r="AL6" s="118">
        <f>'EB2018'!AK58</f>
        <v>0</v>
      </c>
      <c r="AM6" s="118">
        <f>'EB2018'!AL58</f>
        <v>0.16649466165720572</v>
      </c>
      <c r="AN6" s="118">
        <f>'EB2018'!AM58</f>
        <v>15.65245160417537</v>
      </c>
      <c r="AO6" s="118">
        <f>'EB2018'!AN58</f>
        <v>0</v>
      </c>
      <c r="AP6" s="118">
        <f>'EB2018'!AO58</f>
        <v>845.19770764258874</v>
      </c>
      <c r="AQ6" s="118">
        <f>'EB2018'!AP58</f>
        <v>0</v>
      </c>
      <c r="AR6" s="118">
        <f>'EB2018'!AQ58</f>
        <v>1198.9418732974414</v>
      </c>
    </row>
    <row r="7" spans="1:44" s="100" customFormat="1" ht="30" customHeight="1">
      <c r="B7" s="144" t="s">
        <v>381</v>
      </c>
      <c r="C7" s="116"/>
      <c r="D7" s="119">
        <f>'EB2018'!C65</f>
        <v>1.9996992481203005E-3</v>
      </c>
      <c r="E7" s="119">
        <f>'EB2018'!D65</f>
        <v>1.9996992481203005E-3</v>
      </c>
      <c r="F7" s="119">
        <f>'EB2018'!E65</f>
        <v>0</v>
      </c>
      <c r="G7" s="119">
        <f>'EB2018'!F65</f>
        <v>0</v>
      </c>
      <c r="H7" s="119">
        <f>'EB2018'!G65</f>
        <v>0</v>
      </c>
      <c r="I7" s="119">
        <f>'EB2018'!H65</f>
        <v>0</v>
      </c>
      <c r="J7" s="119">
        <f>'EB2018'!I65</f>
        <v>0</v>
      </c>
      <c r="K7" s="119">
        <f>'EB2018'!J65</f>
        <v>0</v>
      </c>
      <c r="L7" s="119">
        <f>'EB2018'!K65</f>
        <v>0</v>
      </c>
      <c r="M7" s="119">
        <f>'EB2018'!L65</f>
        <v>122.41385090009794</v>
      </c>
      <c r="N7" s="119">
        <f>'EB2018'!M65</f>
        <v>0</v>
      </c>
      <c r="O7" s="119">
        <f>'EB2018'!N65</f>
        <v>0</v>
      </c>
      <c r="P7" s="119">
        <f>'EB2018'!O65</f>
        <v>0</v>
      </c>
      <c r="Q7" s="119">
        <f>'EB2018'!P65</f>
        <v>0</v>
      </c>
      <c r="R7" s="119">
        <f>'EB2018'!Q65</f>
        <v>45.701000000000001</v>
      </c>
      <c r="S7" s="119">
        <f>'EB2018'!R65</f>
        <v>0</v>
      </c>
      <c r="T7" s="119">
        <f>'EB2018'!S65</f>
        <v>0.64284746861564912</v>
      </c>
      <c r="U7" s="119">
        <f>'EB2018'!T65</f>
        <v>22.025003431482311</v>
      </c>
      <c r="V7" s="119">
        <f>'EB2018'!U65</f>
        <v>54.044999999999995</v>
      </c>
      <c r="W7" s="119">
        <f>'EB2018'!V65</f>
        <v>0</v>
      </c>
      <c r="X7" s="119">
        <f>'EB2018'!W65</f>
        <v>0</v>
      </c>
      <c r="Y7" s="119">
        <f>'EB2018'!X65</f>
        <v>0</v>
      </c>
      <c r="Z7" s="119">
        <f>'EB2018'!Y65</f>
        <v>0</v>
      </c>
      <c r="AA7" s="119">
        <f>'EB2018'!Z65</f>
        <v>0</v>
      </c>
      <c r="AB7" s="119">
        <f>'EB2018'!AA65</f>
        <v>126.76708324302638</v>
      </c>
      <c r="AC7" s="119">
        <f>'EB2018'!AB65</f>
        <v>15.68071858145319</v>
      </c>
      <c r="AD7" s="119">
        <f>'EB2018'!AC65</f>
        <v>0</v>
      </c>
      <c r="AE7" s="119">
        <f>'EB2018'!AD65</f>
        <v>0</v>
      </c>
      <c r="AF7" s="119">
        <f>'EB2018'!AE65</f>
        <v>10.863404601057606</v>
      </c>
      <c r="AG7" s="119">
        <f>'EB2018'!AF65</f>
        <v>0</v>
      </c>
      <c r="AH7" s="119">
        <f>'EB2018'!AG65</f>
        <v>0</v>
      </c>
      <c r="AI7" s="119">
        <f>'EB2018'!AH65</f>
        <v>4.8173139803955838</v>
      </c>
      <c r="AJ7" s="119">
        <f>'EB2018'!AI65</f>
        <v>0</v>
      </c>
      <c r="AK7" s="119">
        <f>'EB2018'!AJ65</f>
        <v>0</v>
      </c>
      <c r="AL7" s="119">
        <f>'EB2018'!AK65</f>
        <v>0</v>
      </c>
      <c r="AM7" s="119">
        <f>'EB2018'!AL65</f>
        <v>0</v>
      </c>
      <c r="AN7" s="119">
        <f>'EB2018'!AM65</f>
        <v>0</v>
      </c>
      <c r="AO7" s="119">
        <f>'EB2018'!AN65</f>
        <v>0</v>
      </c>
      <c r="AP7" s="119">
        <f>'EB2018'!AO65</f>
        <v>238.48731236691594</v>
      </c>
      <c r="AQ7" s="119">
        <f>'EB2018'!AP65</f>
        <v>0</v>
      </c>
      <c r="AR7" s="119">
        <f>'EB2018'!AQ65</f>
        <v>503.35096479074156</v>
      </c>
    </row>
    <row r="8" spans="1:44" s="100" customFormat="1" ht="15.75" customHeight="1">
      <c r="A8" s="103"/>
      <c r="B8" s="103"/>
      <c r="C8" s="103"/>
      <c r="D8" s="104"/>
      <c r="E8" s="104"/>
      <c r="F8" s="104"/>
      <c r="G8" s="104"/>
      <c r="H8" s="104"/>
      <c r="I8" s="104"/>
      <c r="J8" s="104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99"/>
      <c r="AQ8" s="99"/>
      <c r="AR8" s="99"/>
    </row>
    <row r="9" spans="1:44" s="100" customFormat="1" ht="15.75" customHeight="1">
      <c r="A9" s="103" t="s">
        <v>374</v>
      </c>
      <c r="B9" s="103"/>
      <c r="C9" s="103"/>
      <c r="D9" s="104"/>
      <c r="E9" s="104"/>
      <c r="F9" s="104"/>
      <c r="G9" s="104"/>
      <c r="H9" s="104"/>
      <c r="I9" s="104"/>
      <c r="J9" s="104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99"/>
      <c r="AQ9" s="99"/>
      <c r="AR9" s="99"/>
    </row>
    <row r="10" spans="1:44">
      <c r="B10" s="6" t="s">
        <v>375</v>
      </c>
      <c r="C10" s="6" t="s">
        <v>384</v>
      </c>
      <c r="AP10" s="5"/>
      <c r="AQ10" s="5"/>
      <c r="AR10" s="5"/>
    </row>
    <row r="11" spans="1:44" s="107" customFormat="1" ht="15" thickBot="1">
      <c r="B11" s="108"/>
      <c r="C11" s="108"/>
      <c r="D11" s="109" t="str">
        <f>Legend!$A$36</f>
        <v>Solids</v>
      </c>
      <c r="E11" s="109" t="str">
        <f>Legend!$A$37</f>
        <v>LPG</v>
      </c>
      <c r="F11" s="109" t="str">
        <f>Legend!$A$38</f>
        <v>Oil</v>
      </c>
      <c r="G11" s="109" t="str">
        <f>Legend!$A$39</f>
        <v>Natural Gas</v>
      </c>
      <c r="H11" s="109" t="str">
        <f>Legend!$A$40</f>
        <v>Biomass</v>
      </c>
      <c r="I11" s="109" t="str">
        <f>Legend!$A$41</f>
        <v>Biogas</v>
      </c>
      <c r="J11" s="109" t="str">
        <f>Legend!$A$42</f>
        <v>Solar</v>
      </c>
      <c r="K11" s="109" t="str">
        <f>Legend!$A$43</f>
        <v>Electricity</v>
      </c>
      <c r="L11" s="109" t="str">
        <f>Legend!$A$44</f>
        <v>Ambient Heat</v>
      </c>
      <c r="M11" s="109" t="s">
        <v>145</v>
      </c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</row>
    <row r="12" spans="1:44">
      <c r="B12" s="113" t="s">
        <v>56</v>
      </c>
      <c r="C12" s="114"/>
      <c r="D12" s="121">
        <f>SUM(D5,I5)*Legend!$B$65</f>
        <v>2.3568139385864662E-2</v>
      </c>
      <c r="E12" s="121">
        <f>U5*Legend!$B$65</f>
        <v>2.7842198913063334</v>
      </c>
      <c r="F12" s="121">
        <f>SUM(R5,T5,V5)*Legend!$B$65</f>
        <v>7.0394279258159997</v>
      </c>
      <c r="G12" s="121">
        <f>AB5*Legend!$B$65</f>
        <v>14.401641235880156</v>
      </c>
      <c r="H12" s="121">
        <f>AF5*Legend!$B$65</f>
        <v>0.75333608411544417</v>
      </c>
      <c r="I12" s="121">
        <f>AI5*Legend!$B$65</f>
        <v>0.23537120855642152</v>
      </c>
      <c r="J12" s="121">
        <f>AM5*Legend!$B$65</f>
        <v>6.9707984942638896E-3</v>
      </c>
      <c r="K12" s="121">
        <f>AP5*Legend!$B$65</f>
        <v>45.371724417757939</v>
      </c>
      <c r="L12" s="121">
        <f>AN5*Legend!$B$65</f>
        <v>0.65533684376361445</v>
      </c>
      <c r="M12" s="121">
        <f>SUM(D12:L12)</f>
        <v>71.271596545076051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44">
      <c r="B13" s="182" t="str">
        <f>Legend!$A$21</f>
        <v>Commercial Services</v>
      </c>
      <c r="D13" s="120">
        <f>SUM(D6,I6)*Legend!$B$65</f>
        <v>2.3484415977744363E-2</v>
      </c>
      <c r="E13" s="120">
        <f>U6*Legend!$B$65</f>
        <v>1.8620770476370321</v>
      </c>
      <c r="F13" s="120">
        <f>SUM(R6,T6,V6)*Legend!$B$65</f>
        <v>2.8363476600000004</v>
      </c>
      <c r="G13" s="120">
        <f>AB6*Legend!$B$65</f>
        <v>9.0941569946611285</v>
      </c>
      <c r="H13" s="120">
        <f>AF6*Legend!$B$65</f>
        <v>0.29850706027836438</v>
      </c>
      <c r="I13" s="120">
        <f>AI6*Legend!$B$65</f>
        <v>3.3679906825219208E-2</v>
      </c>
      <c r="J13" s="120">
        <f>AM6*Legend!$B$65</f>
        <v>6.9707984942638896E-3</v>
      </c>
      <c r="K13" s="120">
        <f>AP6*Legend!$B$65</f>
        <v>35.386737623579904</v>
      </c>
      <c r="L13" s="120">
        <f>AN6*Legend!$B$65</f>
        <v>0.65533684376361445</v>
      </c>
      <c r="M13" s="121">
        <f>SUM(D13:L13)</f>
        <v>50.19729835121727</v>
      </c>
      <c r="N13" s="5"/>
      <c r="O13" s="5"/>
      <c r="Q13" s="120"/>
      <c r="AP13" s="5"/>
      <c r="AQ13" s="5"/>
      <c r="AR13" s="5"/>
    </row>
    <row r="14" spans="1:44">
      <c r="B14" s="184" t="str">
        <f>Legend!$A$32</f>
        <v>Data centers</v>
      </c>
      <c r="D14" s="203"/>
      <c r="E14" s="203"/>
      <c r="F14" s="203"/>
      <c r="G14" s="203"/>
      <c r="H14" s="203"/>
      <c r="I14" s="203"/>
      <c r="J14" s="203"/>
      <c r="K14" s="216">
        <f>'Key Inputs'!$I$114</f>
        <v>5.6291760000000002</v>
      </c>
      <c r="L14" s="203"/>
      <c r="M14" s="204">
        <f>SUM(D14:L14)</f>
        <v>5.6291760000000002</v>
      </c>
      <c r="N14" s="5"/>
      <c r="O14" s="5"/>
      <c r="Q14" s="120"/>
      <c r="AP14" s="5"/>
      <c r="AQ14" s="5"/>
      <c r="AR14" s="5"/>
    </row>
    <row r="15" spans="1:44">
      <c r="B15" s="182" t="str">
        <f>Legend!$A$22</f>
        <v>Public Services</v>
      </c>
      <c r="D15" s="120">
        <f>SUM(D7,I7)*Legend!$B$65</f>
        <v>8.3723408120300749E-5</v>
      </c>
      <c r="E15" s="120">
        <f>U7*Legend!$B$65</f>
        <v>0.92214284366930144</v>
      </c>
      <c r="F15" s="120">
        <f>SUM(R7,T7,V7)*Legend!$B$65</f>
        <v>4.2030802658159994</v>
      </c>
      <c r="G15" s="120">
        <f>AB7*Legend!$B$65</f>
        <v>5.3074842412190284</v>
      </c>
      <c r="H15" s="120">
        <f>AF7*Legend!$B$65</f>
        <v>0.4548290238370799</v>
      </c>
      <c r="I15" s="120">
        <f>AI7*Legend!$B$65</f>
        <v>0.20169130173120231</v>
      </c>
      <c r="J15" s="120">
        <f>AM7*Legend!$B$65</f>
        <v>0</v>
      </c>
      <c r="K15" s="120">
        <f>AP7*Legend!$B$65</f>
        <v>9.9849867941780381</v>
      </c>
      <c r="L15" s="120">
        <f>AN7*Legend!$B$65</f>
        <v>0</v>
      </c>
      <c r="M15" s="121">
        <f>SUM(D15:L15)</f>
        <v>21.07429819385877</v>
      </c>
      <c r="O15" s="5"/>
      <c r="AP15" s="5"/>
      <c r="AQ15" s="5"/>
      <c r="AR15" s="5"/>
    </row>
    <row r="16" spans="1:44">
      <c r="B16" s="187" t="str">
        <f>Legend!$A$33</f>
        <v>Public lighting</v>
      </c>
      <c r="C16" s="10"/>
      <c r="D16" s="205"/>
      <c r="E16" s="205"/>
      <c r="F16" s="205"/>
      <c r="G16" s="205"/>
      <c r="H16" s="205"/>
      <c r="I16" s="205"/>
      <c r="J16" s="205"/>
      <c r="K16" s="217">
        <f>'Public SEAI'!C29*Legend!$B$66</f>
        <v>1.4472</v>
      </c>
      <c r="L16" s="205"/>
      <c r="M16" s="206">
        <f>SUM(D16:L16)</f>
        <v>1.4472</v>
      </c>
      <c r="O16" s="5"/>
      <c r="AP16" s="5"/>
      <c r="AQ16" s="5"/>
      <c r="AR16" s="5"/>
    </row>
    <row r="17" spans="2:44">
      <c r="B17" s="182" t="str">
        <f>Legend!$A$21&amp;" (excl. "&amp;B14&amp;")"</f>
        <v>Commercial Services (excl. Data centers)</v>
      </c>
      <c r="D17" s="120">
        <f>D13-D14</f>
        <v>2.3484415977744363E-2</v>
      </c>
      <c r="E17" s="120">
        <f t="shared" ref="E17:M17" si="0">E13-E14</f>
        <v>1.8620770476370321</v>
      </c>
      <c r="F17" s="120">
        <f t="shared" si="0"/>
        <v>2.8363476600000004</v>
      </c>
      <c r="G17" s="120">
        <f t="shared" si="0"/>
        <v>9.0941569946611285</v>
      </c>
      <c r="H17" s="120">
        <f t="shared" si="0"/>
        <v>0.29850706027836438</v>
      </c>
      <c r="I17" s="120">
        <f t="shared" si="0"/>
        <v>3.3679906825219208E-2</v>
      </c>
      <c r="J17" s="120">
        <f t="shared" si="0"/>
        <v>6.9707984942638896E-3</v>
      </c>
      <c r="K17" s="120">
        <f t="shared" si="0"/>
        <v>29.757561623579903</v>
      </c>
      <c r="L17" s="120">
        <f t="shared" si="0"/>
        <v>0.65533684376361445</v>
      </c>
      <c r="M17" s="121">
        <f t="shared" si="0"/>
        <v>44.568122351217269</v>
      </c>
      <c r="O17" s="5"/>
      <c r="AP17" s="5"/>
      <c r="AQ17" s="5"/>
      <c r="AR17" s="5"/>
    </row>
    <row r="18" spans="2:44">
      <c r="B18" s="183" t="str">
        <f>Legend!$A$22&amp;" (excl. "&amp;B16&amp;")"</f>
        <v>Public Services (excl. Public lighting)</v>
      </c>
      <c r="C18" s="10"/>
      <c r="D18" s="207">
        <f>D15-D16</f>
        <v>8.3723408120300749E-5</v>
      </c>
      <c r="E18" s="207">
        <f t="shared" ref="E18:M18" si="1">E15-E16</f>
        <v>0.92214284366930144</v>
      </c>
      <c r="F18" s="207">
        <f t="shared" si="1"/>
        <v>4.2030802658159994</v>
      </c>
      <c r="G18" s="207">
        <f t="shared" si="1"/>
        <v>5.3074842412190284</v>
      </c>
      <c r="H18" s="207">
        <f t="shared" si="1"/>
        <v>0.4548290238370799</v>
      </c>
      <c r="I18" s="207">
        <f t="shared" si="1"/>
        <v>0.20169130173120231</v>
      </c>
      <c r="J18" s="207">
        <f t="shared" si="1"/>
        <v>0</v>
      </c>
      <c r="K18" s="207">
        <f t="shared" si="1"/>
        <v>8.5377867941780377</v>
      </c>
      <c r="L18" s="207">
        <f t="shared" si="1"/>
        <v>0</v>
      </c>
      <c r="M18" s="122">
        <f t="shared" si="1"/>
        <v>19.627098193858771</v>
      </c>
      <c r="O18" s="5"/>
      <c r="AP18" s="5"/>
      <c r="AQ18" s="5"/>
      <c r="AR18" s="5"/>
    </row>
    <row r="19" spans="2:44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2:44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2:44">
      <c r="B21" s="6" t="s">
        <v>376</v>
      </c>
      <c r="C21" s="6" t="str">
        <f>"Energy Balance breakdown for "&amp;B25</f>
        <v>Energy Balance breakdown for Commercial Services (excl. Data centers)</v>
      </c>
      <c r="AP21" s="5"/>
      <c r="AQ21" s="5"/>
      <c r="AR21" s="5"/>
    </row>
    <row r="22" spans="2:44" ht="29.5" thickBot="1">
      <c r="B22" s="101" t="s">
        <v>378</v>
      </c>
      <c r="C22" s="101" t="s">
        <v>160</v>
      </c>
      <c r="D22" s="12" t="s">
        <v>81</v>
      </c>
      <c r="E22" s="12" t="s">
        <v>388</v>
      </c>
      <c r="F22" s="102" t="s">
        <v>398</v>
      </c>
      <c r="G22" s="109" t="s">
        <v>83</v>
      </c>
      <c r="AP22" s="5"/>
      <c r="AQ22" s="5"/>
      <c r="AR22" s="5"/>
    </row>
    <row r="23" spans="2:44" ht="15" thickBot="1">
      <c r="B23" s="222" t="s">
        <v>477</v>
      </c>
      <c r="C23" s="6"/>
      <c r="D23" s="15"/>
      <c r="E23" s="15"/>
      <c r="F23" s="138" t="s">
        <v>180</v>
      </c>
      <c r="G23" s="124"/>
      <c r="AP23" s="5"/>
      <c r="AQ23" s="5"/>
      <c r="AR23" s="5"/>
    </row>
    <row r="24" spans="2:44">
      <c r="B24" s="129"/>
      <c r="C24" s="129"/>
      <c r="D24" s="68"/>
      <c r="E24" s="68"/>
      <c r="F24" s="141" t="s">
        <v>132</v>
      </c>
      <c r="G24" s="142" t="s">
        <v>46</v>
      </c>
      <c r="AP24" s="5"/>
      <c r="AQ24" s="5"/>
      <c r="AR24" s="5"/>
    </row>
    <row r="25" spans="2:44">
      <c r="B25" s="115" t="str">
        <f t="shared" ref="B25:B57" si="2">$B$17</f>
        <v>Commercial Services (excl. Data centers)</v>
      </c>
      <c r="C25" s="125" t="str">
        <f>Legend!$A$24</f>
        <v>Space heating</v>
      </c>
      <c r="D25" s="9" t="str">
        <f>Legend!$A$36</f>
        <v>Solids</v>
      </c>
      <c r="E25" s="9"/>
      <c r="F25" s="131">
        <v>1</v>
      </c>
      <c r="G25" s="130">
        <f>SUMIFS($D$17:$L$17,$D$11:$L$11,$D25)*F25</f>
        <v>2.3484415977744363E-2</v>
      </c>
      <c r="L25" s="9"/>
      <c r="M25" s="9"/>
      <c r="AP25" s="5"/>
      <c r="AQ25" s="5"/>
      <c r="AR25" s="5"/>
    </row>
    <row r="26" spans="2:44">
      <c r="B26" s="115" t="str">
        <f t="shared" si="2"/>
        <v>Commercial Services (excl. Data centers)</v>
      </c>
      <c r="C26" s="125" t="str">
        <f>Legend!$A$24</f>
        <v>Space heating</v>
      </c>
      <c r="D26" s="9" t="str">
        <f>Legend!$A$37</f>
        <v>LPG</v>
      </c>
      <c r="E26" s="9"/>
      <c r="F26" s="126">
        <v>0</v>
      </c>
      <c r="G26" s="130">
        <f t="shared" ref="G26:G34" si="3">SUMIFS($D$17:$L$17,$D$11:$L$11,$D26)*F26</f>
        <v>0</v>
      </c>
      <c r="L26" s="9"/>
      <c r="M26" s="9"/>
      <c r="AP26" s="5"/>
      <c r="AQ26" s="5"/>
      <c r="AR26" s="5"/>
    </row>
    <row r="27" spans="2:44">
      <c r="B27" s="115" t="str">
        <f t="shared" si="2"/>
        <v>Commercial Services (excl. Data centers)</v>
      </c>
      <c r="C27" s="125" t="str">
        <f>Legend!$A$24</f>
        <v>Space heating</v>
      </c>
      <c r="D27" s="9" t="str">
        <f>Legend!$A$38</f>
        <v>Oil</v>
      </c>
      <c r="E27" s="9"/>
      <c r="F27" s="126">
        <v>0.77148994613935973</v>
      </c>
      <c r="G27" s="130">
        <f t="shared" si="3"/>
        <v>2.1882137034458995</v>
      </c>
      <c r="L27" s="9"/>
      <c r="M27" s="9"/>
      <c r="AP27" s="5"/>
      <c r="AQ27" s="5"/>
      <c r="AR27" s="5"/>
    </row>
    <row r="28" spans="2:44">
      <c r="B28" s="115" t="str">
        <f t="shared" si="2"/>
        <v>Commercial Services (excl. Data centers)</v>
      </c>
      <c r="C28" s="125" t="str">
        <f>Legend!$A$24</f>
        <v>Space heating</v>
      </c>
      <c r="D28" s="9" t="str">
        <f>Legend!$A$39</f>
        <v>Natural Gas</v>
      </c>
      <c r="E28" s="9"/>
      <c r="F28" s="126">
        <v>0.57925202920378049</v>
      </c>
      <c r="G28" s="130">
        <f t="shared" si="3"/>
        <v>5.2678088930552125</v>
      </c>
      <c r="L28" s="9"/>
      <c r="M28" s="9"/>
      <c r="AP28" s="5"/>
      <c r="AQ28" s="5"/>
      <c r="AR28" s="5"/>
    </row>
    <row r="29" spans="2:44">
      <c r="B29" s="115" t="str">
        <f t="shared" si="2"/>
        <v>Commercial Services (excl. Data centers)</v>
      </c>
      <c r="C29" s="125" t="str">
        <f>Legend!$A$24</f>
        <v>Space heating</v>
      </c>
      <c r="D29" s="9" t="str">
        <f>Legend!$A$40</f>
        <v>Biomass</v>
      </c>
      <c r="E29" s="9"/>
      <c r="F29" s="126">
        <v>1</v>
      </c>
      <c r="G29" s="130">
        <f t="shared" si="3"/>
        <v>0.29850706027836438</v>
      </c>
      <c r="L29" s="9"/>
      <c r="M29" s="9"/>
      <c r="AP29" s="5"/>
      <c r="AQ29" s="5"/>
      <c r="AR29" s="5"/>
    </row>
    <row r="30" spans="2:44">
      <c r="B30" s="115" t="str">
        <f t="shared" si="2"/>
        <v>Commercial Services (excl. Data centers)</v>
      </c>
      <c r="C30" s="125" t="str">
        <f>Legend!$A$24</f>
        <v>Space heating</v>
      </c>
      <c r="D30" s="19" t="str">
        <f>Legend!$A$41</f>
        <v>Biogas</v>
      </c>
      <c r="E30" s="9"/>
      <c r="F30" s="131">
        <v>1</v>
      </c>
      <c r="G30" s="130">
        <f t="shared" si="3"/>
        <v>3.3679906825219208E-2</v>
      </c>
      <c r="L30" s="9"/>
      <c r="M30" s="9"/>
      <c r="AP30" s="5"/>
      <c r="AQ30" s="5"/>
      <c r="AR30" s="5"/>
    </row>
    <row r="31" spans="2:44">
      <c r="B31" s="115" t="str">
        <f t="shared" si="2"/>
        <v>Commercial Services (excl. Data centers)</v>
      </c>
      <c r="C31" s="125" t="str">
        <f>Legend!$A$24</f>
        <v>Space heating</v>
      </c>
      <c r="D31" s="19" t="str">
        <f>Legend!$A$42</f>
        <v>Solar</v>
      </c>
      <c r="E31" s="9"/>
      <c r="F31" s="126">
        <v>0</v>
      </c>
      <c r="G31" s="130">
        <f t="shared" si="3"/>
        <v>0</v>
      </c>
      <c r="L31" s="9"/>
      <c r="M31" s="9"/>
      <c r="AP31" s="5"/>
      <c r="AQ31" s="5"/>
      <c r="AR31" s="5"/>
    </row>
    <row r="32" spans="2:44">
      <c r="B32" s="115" t="str">
        <f t="shared" si="2"/>
        <v>Commercial Services (excl. Data centers)</v>
      </c>
      <c r="C32" s="125" t="str">
        <f>Legend!$A$24</f>
        <v>Space heating</v>
      </c>
      <c r="D32" s="9" t="str">
        <f>Legend!$A$43</f>
        <v>Electricity</v>
      </c>
      <c r="E32" s="9" t="s">
        <v>389</v>
      </c>
      <c r="F32" s="126">
        <v>2.0979079880167242E-2</v>
      </c>
      <c r="G32" s="130">
        <f t="shared" si="3"/>
        <v>0.624286262340082</v>
      </c>
      <c r="I32" s="389"/>
      <c r="J32" s="390"/>
      <c r="L32" s="9"/>
      <c r="M32" s="9"/>
      <c r="AP32" s="5"/>
      <c r="AQ32" s="5"/>
      <c r="AR32" s="5"/>
    </row>
    <row r="33" spans="2:44">
      <c r="B33" s="115" t="str">
        <f t="shared" si="2"/>
        <v>Commercial Services (excl. Data centers)</v>
      </c>
      <c r="C33" s="125" t="str">
        <f>Legend!$A$24</f>
        <v>Space heating</v>
      </c>
      <c r="D33" s="9" t="str">
        <f>Legend!$A$43</f>
        <v>Electricity</v>
      </c>
      <c r="E33" s="9" t="s">
        <v>390</v>
      </c>
      <c r="F33" s="126">
        <v>9.0683292361053588E-2</v>
      </c>
      <c r="G33" s="130">
        <f t="shared" si="3"/>
        <v>2.6985136606631648</v>
      </c>
      <c r="L33" s="9"/>
      <c r="M33" s="9"/>
      <c r="AP33" s="5"/>
      <c r="AQ33" s="5"/>
      <c r="AR33" s="5"/>
    </row>
    <row r="34" spans="2:44">
      <c r="B34" s="115" t="str">
        <f t="shared" si="2"/>
        <v>Commercial Services (excl. Data centers)</v>
      </c>
      <c r="C34" s="125" t="str">
        <f>Legend!$A$24</f>
        <v>Space heating</v>
      </c>
      <c r="D34" s="9" t="str">
        <f>Legend!$A$44</f>
        <v>Ambient Heat</v>
      </c>
      <c r="E34" s="9"/>
      <c r="F34" s="131">
        <v>1</v>
      </c>
      <c r="G34" s="130">
        <f t="shared" si="3"/>
        <v>0.65533684376361445</v>
      </c>
      <c r="I34" s="388"/>
      <c r="L34" s="9"/>
      <c r="M34" s="9"/>
      <c r="AP34" s="5"/>
      <c r="AQ34" s="5"/>
      <c r="AR34" s="5"/>
    </row>
    <row r="35" spans="2:44">
      <c r="B35" s="111" t="str">
        <f t="shared" si="2"/>
        <v>Commercial Services (excl. Data centers)</v>
      </c>
      <c r="C35" s="112" t="str">
        <f>Legend!$A$24</f>
        <v>Space heating</v>
      </c>
      <c r="D35" s="112" t="s">
        <v>391</v>
      </c>
      <c r="E35" s="132"/>
      <c r="F35" s="134"/>
      <c r="G35" s="133">
        <f>SUM(G25:G34)</f>
        <v>11.789830746349303</v>
      </c>
      <c r="H35" s="124"/>
      <c r="I35" s="124"/>
      <c r="J35" s="124"/>
      <c r="L35" s="9"/>
      <c r="M35" s="9"/>
      <c r="AP35" s="5"/>
      <c r="AQ35" s="5"/>
      <c r="AR35" s="5"/>
    </row>
    <row r="36" spans="2:44">
      <c r="B36" s="115" t="str">
        <f t="shared" si="2"/>
        <v>Commercial Services (excl. Data centers)</v>
      </c>
      <c r="C36" s="125" t="str">
        <f>Legend!$A$25</f>
        <v>Water heating</v>
      </c>
      <c r="D36" s="9" t="str">
        <f>Legend!$A$36</f>
        <v>Solids</v>
      </c>
      <c r="F36" s="126">
        <v>0</v>
      </c>
      <c r="G36" s="130">
        <f t="shared" ref="G36:G43" si="4">SUMIFS($D$17:$L$17,$D$11:$L$11,$D36)*F36</f>
        <v>0</v>
      </c>
      <c r="L36" s="9"/>
      <c r="M36" s="9"/>
      <c r="AP36" s="5"/>
      <c r="AQ36" s="5"/>
      <c r="AR36" s="5"/>
    </row>
    <row r="37" spans="2:44">
      <c r="B37" s="115" t="str">
        <f t="shared" si="2"/>
        <v>Commercial Services (excl. Data centers)</v>
      </c>
      <c r="C37" s="125" t="str">
        <f>Legend!$A$25</f>
        <v>Water heating</v>
      </c>
      <c r="D37" s="9" t="str">
        <f>Legend!$A$37</f>
        <v>LPG</v>
      </c>
      <c r="F37" s="126">
        <v>0</v>
      </c>
      <c r="G37" s="130">
        <f t="shared" si="4"/>
        <v>0</v>
      </c>
      <c r="L37" s="9"/>
      <c r="M37" s="9"/>
      <c r="AP37" s="5"/>
      <c r="AQ37" s="5"/>
      <c r="AR37" s="5"/>
    </row>
    <row r="38" spans="2:44">
      <c r="B38" s="115" t="str">
        <f t="shared" si="2"/>
        <v>Commercial Services (excl. Data centers)</v>
      </c>
      <c r="C38" s="125" t="str">
        <f>Legend!$A$25</f>
        <v>Water heating</v>
      </c>
      <c r="D38" s="9" t="str">
        <f>Legend!$A$38</f>
        <v>Oil</v>
      </c>
      <c r="F38" s="126">
        <v>0.2285100538606403</v>
      </c>
      <c r="G38" s="130">
        <f t="shared" si="4"/>
        <v>0.64813395655410122</v>
      </c>
      <c r="L38" s="9"/>
      <c r="M38" s="9"/>
      <c r="AP38" s="5"/>
      <c r="AQ38" s="5"/>
      <c r="AR38" s="5"/>
    </row>
    <row r="39" spans="2:44">
      <c r="B39" s="115" t="str">
        <f t="shared" si="2"/>
        <v>Commercial Services (excl. Data centers)</v>
      </c>
      <c r="C39" s="125" t="str">
        <f>Legend!$A$25</f>
        <v>Water heating</v>
      </c>
      <c r="D39" s="9" t="str">
        <f>Legend!$A$39</f>
        <v>Natural Gas</v>
      </c>
      <c r="F39" s="126">
        <v>0.17174852165350002</v>
      </c>
      <c r="G39" s="130">
        <f t="shared" si="4"/>
        <v>1.5619080195178854</v>
      </c>
      <c r="H39" s="130"/>
      <c r="L39" s="9"/>
      <c r="M39" s="9"/>
      <c r="AP39" s="5"/>
      <c r="AQ39" s="5"/>
      <c r="AR39" s="5"/>
    </row>
    <row r="40" spans="2:44">
      <c r="B40" s="115" t="str">
        <f t="shared" si="2"/>
        <v>Commercial Services (excl. Data centers)</v>
      </c>
      <c r="C40" s="125" t="str">
        <f>Legend!$A$25</f>
        <v>Water heating</v>
      </c>
      <c r="D40" s="9" t="str">
        <f>Legend!$A$40</f>
        <v>Biomass</v>
      </c>
      <c r="F40" s="126">
        <v>0</v>
      </c>
      <c r="G40" s="130">
        <f t="shared" si="4"/>
        <v>0</v>
      </c>
      <c r="L40" s="9"/>
      <c r="M40" s="9"/>
      <c r="AP40" s="5"/>
      <c r="AQ40" s="5"/>
      <c r="AR40" s="5"/>
    </row>
    <row r="41" spans="2:44">
      <c r="B41" s="115" t="str">
        <f t="shared" si="2"/>
        <v>Commercial Services (excl. Data centers)</v>
      </c>
      <c r="C41" s="125" t="str">
        <f>Legend!$A$25</f>
        <v>Water heating</v>
      </c>
      <c r="D41" s="9" t="str">
        <f>Legend!$A$41</f>
        <v>Biogas</v>
      </c>
      <c r="F41" s="131">
        <v>0</v>
      </c>
      <c r="G41" s="130">
        <f t="shared" si="4"/>
        <v>0</v>
      </c>
      <c r="L41" s="9"/>
      <c r="M41" s="9"/>
      <c r="AP41" s="5"/>
      <c r="AQ41" s="5"/>
      <c r="AR41" s="5"/>
    </row>
    <row r="42" spans="2:44">
      <c r="B42" s="115" t="str">
        <f t="shared" si="2"/>
        <v>Commercial Services (excl. Data centers)</v>
      </c>
      <c r="C42" s="125" t="str">
        <f>Legend!$A$25</f>
        <v>Water heating</v>
      </c>
      <c r="D42" s="9" t="str">
        <f>Legend!$A$43</f>
        <v>Electricity</v>
      </c>
      <c r="F42" s="126">
        <v>5.144655820488965E-2</v>
      </c>
      <c r="G42" s="130">
        <f t="shared" si="4"/>
        <v>1.5309241261030941</v>
      </c>
      <c r="L42" s="9"/>
      <c r="M42" s="9"/>
      <c r="AP42" s="5"/>
      <c r="AQ42" s="5"/>
      <c r="AR42" s="5"/>
    </row>
    <row r="43" spans="2:44">
      <c r="B43" s="115" t="str">
        <f t="shared" si="2"/>
        <v>Commercial Services (excl. Data centers)</v>
      </c>
      <c r="C43" s="125" t="str">
        <f>Legend!$A$25</f>
        <v>Water heating</v>
      </c>
      <c r="D43" s="9" t="str">
        <f>Legend!$A$42</f>
        <v>Solar</v>
      </c>
      <c r="F43" s="126">
        <v>0.99999999999999989</v>
      </c>
      <c r="G43" s="130">
        <f t="shared" si="4"/>
        <v>6.9707984942638888E-3</v>
      </c>
      <c r="L43" s="9"/>
      <c r="M43" s="9"/>
      <c r="AP43" s="5"/>
      <c r="AQ43" s="5"/>
      <c r="AR43" s="5"/>
    </row>
    <row r="44" spans="2:44">
      <c r="B44" s="111" t="str">
        <f t="shared" si="2"/>
        <v>Commercial Services (excl. Data centers)</v>
      </c>
      <c r="C44" s="112" t="str">
        <f>Legend!$A$25</f>
        <v>Water heating</v>
      </c>
      <c r="D44" s="112" t="s">
        <v>391</v>
      </c>
      <c r="E44" s="132"/>
      <c r="F44" s="134"/>
      <c r="G44" s="133">
        <f>SUM(G36:G43)</f>
        <v>3.747936900669345</v>
      </c>
      <c r="L44" s="9"/>
      <c r="M44" s="9"/>
      <c r="AP44" s="5"/>
      <c r="AQ44" s="5"/>
      <c r="AR44" s="5"/>
    </row>
    <row r="45" spans="2:44">
      <c r="B45" s="115" t="str">
        <f t="shared" si="2"/>
        <v>Commercial Services (excl. Data centers)</v>
      </c>
      <c r="C45" s="125" t="str">
        <f>Legend!$A$26</f>
        <v>Space cooling</v>
      </c>
      <c r="D45" s="5" t="str">
        <f>Legend!$A$39</f>
        <v>Natural Gas</v>
      </c>
      <c r="F45" s="127">
        <v>5.5954037870663276E-4</v>
      </c>
      <c r="G45" s="130">
        <f t="shared" ref="G45:G46" si="5">SUMIFS($D$17:$L$17,$D$11:$L$11,$D45)*F45</f>
        <v>5.0885480488102614E-3</v>
      </c>
      <c r="L45" s="9"/>
      <c r="M45" s="9"/>
      <c r="AP45" s="5"/>
      <c r="AQ45" s="5"/>
      <c r="AR45" s="5"/>
    </row>
    <row r="46" spans="2:44">
      <c r="B46" s="115" t="str">
        <f t="shared" si="2"/>
        <v>Commercial Services (excl. Data centers)</v>
      </c>
      <c r="C46" s="125" t="str">
        <f>Legend!$A$26</f>
        <v>Space cooling</v>
      </c>
      <c r="D46" s="5" t="str">
        <f>Legend!$A$43</f>
        <v>Electricity</v>
      </c>
      <c r="F46" s="127">
        <v>4.5127826308389997E-2</v>
      </c>
      <c r="G46" s="130">
        <f t="shared" si="5"/>
        <v>1.3428940723101257</v>
      </c>
      <c r="L46" s="9"/>
      <c r="M46" s="9"/>
      <c r="AP46" s="5"/>
      <c r="AQ46" s="5"/>
      <c r="AR46" s="5"/>
    </row>
    <row r="47" spans="2:44">
      <c r="B47" s="111" t="str">
        <f t="shared" si="2"/>
        <v>Commercial Services (excl. Data centers)</v>
      </c>
      <c r="C47" s="112" t="str">
        <f>Legend!$A$26</f>
        <v>Space cooling</v>
      </c>
      <c r="D47" s="112" t="s">
        <v>391</v>
      </c>
      <c r="E47" s="132"/>
      <c r="F47" s="134"/>
      <c r="G47" s="133">
        <f>SUM(G45:G46)</f>
        <v>1.347982620358936</v>
      </c>
      <c r="K47" s="5"/>
      <c r="L47" s="9"/>
      <c r="M47" s="9"/>
      <c r="AP47" s="5"/>
      <c r="AQ47" s="5"/>
      <c r="AR47" s="5"/>
    </row>
    <row r="48" spans="2:44">
      <c r="B48" s="115" t="str">
        <f t="shared" si="2"/>
        <v>Commercial Services (excl. Data centers)</v>
      </c>
      <c r="C48" s="125" t="str">
        <f>Legend!$A$28</f>
        <v>Cooking</v>
      </c>
      <c r="D48" s="5" t="str">
        <f>Legend!$A$37</f>
        <v>LPG</v>
      </c>
      <c r="F48" s="126">
        <v>0.99999999999999989</v>
      </c>
      <c r="G48" s="130">
        <f t="shared" ref="G48:G51" si="6">SUMIFS($D$17:$L$17,$D$11:$L$11,$D48)*F48</f>
        <v>1.8620770476370319</v>
      </c>
      <c r="K48" s="5"/>
      <c r="L48" s="9"/>
      <c r="M48" s="9"/>
      <c r="AP48" s="5"/>
      <c r="AQ48" s="5"/>
      <c r="AR48" s="5"/>
    </row>
    <row r="49" spans="2:44">
      <c r="B49" s="115" t="str">
        <f t="shared" si="2"/>
        <v>Commercial Services (excl. Data centers)</v>
      </c>
      <c r="C49" s="125" t="str">
        <f>Legend!$A$28</f>
        <v>Cooking</v>
      </c>
      <c r="D49" s="5" t="str">
        <f>Legend!$A$39</f>
        <v>Natural Gas</v>
      </c>
      <c r="F49" s="126">
        <v>0.24844748726336943</v>
      </c>
      <c r="G49" s="130">
        <f t="shared" si="6"/>
        <v>2.2594204541021528</v>
      </c>
      <c r="K49" s="5"/>
      <c r="L49" s="9"/>
      <c r="M49" s="9"/>
      <c r="AP49" s="5"/>
      <c r="AQ49" s="5"/>
      <c r="AR49" s="5"/>
    </row>
    <row r="50" spans="2:44">
      <c r="B50" s="115" t="str">
        <f t="shared" si="2"/>
        <v>Commercial Services (excl. Data centers)</v>
      </c>
      <c r="C50" s="125" t="str">
        <f>Legend!$A$28</f>
        <v>Cooking</v>
      </c>
      <c r="D50" s="5" t="str">
        <f>Legend!$A$40</f>
        <v>Biomass</v>
      </c>
      <c r="F50" s="126">
        <v>0</v>
      </c>
      <c r="G50" s="130">
        <f t="shared" si="6"/>
        <v>0</v>
      </c>
      <c r="K50" s="5"/>
      <c r="L50" s="9"/>
      <c r="M50" s="9"/>
      <c r="AP50" s="5"/>
      <c r="AQ50" s="5"/>
      <c r="AR50" s="5"/>
    </row>
    <row r="51" spans="2:44">
      <c r="B51" s="115" t="str">
        <f t="shared" si="2"/>
        <v>Commercial Services (excl. Data centers)</v>
      </c>
      <c r="C51" s="125" t="str">
        <f>Legend!$A$28</f>
        <v>Cooking</v>
      </c>
      <c r="D51" s="5" t="str">
        <f>Legend!$A$43</f>
        <v>Electricity</v>
      </c>
      <c r="F51" s="126">
        <v>9.8223015432927246E-2</v>
      </c>
      <c r="G51" s="130">
        <f t="shared" si="6"/>
        <v>2.9228774345991724</v>
      </c>
      <c r="K51" s="5"/>
      <c r="L51" s="9"/>
      <c r="M51" s="9"/>
      <c r="AP51" s="5"/>
      <c r="AQ51" s="5"/>
      <c r="AR51" s="5"/>
    </row>
    <row r="52" spans="2:44">
      <c r="B52" s="111" t="str">
        <f t="shared" si="2"/>
        <v>Commercial Services (excl. Data centers)</v>
      </c>
      <c r="C52" s="112" t="str">
        <f>Legend!$A$28</f>
        <v>Cooking</v>
      </c>
      <c r="D52" s="112" t="s">
        <v>391</v>
      </c>
      <c r="E52" s="132"/>
      <c r="F52" s="134"/>
      <c r="G52" s="133">
        <f>SUM(G48:G51)</f>
        <v>7.0443749363383574</v>
      </c>
      <c r="K52" s="5"/>
      <c r="L52" s="9"/>
      <c r="M52" s="9"/>
      <c r="AP52" s="5"/>
      <c r="AQ52" s="5"/>
      <c r="AR52" s="5"/>
    </row>
    <row r="53" spans="2:44">
      <c r="B53" s="115" t="str">
        <f t="shared" si="2"/>
        <v>Commercial Services (excl. Data centers)</v>
      </c>
      <c r="C53" s="5" t="str">
        <f>Legend!$A$29</f>
        <v>Building lighting</v>
      </c>
      <c r="D53" s="5" t="str">
        <f>Legend!$A$43</f>
        <v>Electricity</v>
      </c>
      <c r="F53" s="128">
        <v>0.25516550175799979</v>
      </c>
      <c r="G53" s="130">
        <f t="shared" ref="G53:G55" si="7">SUMIFS($D$17:$L$17,$D$11:$L$11,$D53)*F53</f>
        <v>7.593103142775365</v>
      </c>
      <c r="K53" s="5"/>
      <c r="L53" s="9"/>
      <c r="M53" s="9"/>
      <c r="AP53" s="5"/>
      <c r="AQ53" s="5"/>
      <c r="AR53" s="5"/>
    </row>
    <row r="54" spans="2:44">
      <c r="B54" s="115" t="str">
        <f t="shared" si="2"/>
        <v>Commercial Services (excl. Data centers)</v>
      </c>
      <c r="C54" s="5" t="str">
        <f>Legend!$A$30</f>
        <v>Refrigeration</v>
      </c>
      <c r="D54" s="5" t="str">
        <f>Legend!$A$43</f>
        <v>Electricity</v>
      </c>
      <c r="F54" s="128">
        <v>9.892425266646325E-2</v>
      </c>
      <c r="G54" s="130">
        <f t="shared" si="7"/>
        <v>2.9437445447888688</v>
      </c>
      <c r="K54" s="5"/>
      <c r="L54" s="9"/>
      <c r="M54" s="9"/>
      <c r="AP54" s="5"/>
      <c r="AQ54" s="5"/>
      <c r="AR54" s="5"/>
    </row>
    <row r="55" spans="2:44">
      <c r="B55" s="115" t="str">
        <f t="shared" si="2"/>
        <v>Commercial Services (excl. Data centers)</v>
      </c>
      <c r="C55" s="5" t="str">
        <f>Legend!$A$31</f>
        <v>Other appliances</v>
      </c>
      <c r="D55" s="5" t="str">
        <f>Legend!$A$43</f>
        <v>Electricity</v>
      </c>
      <c r="F55" s="128">
        <f>1-SUMIFS($F$25:$F$54,$D$25:$D$54,D55)</f>
        <v>0.3394504733881093</v>
      </c>
      <c r="G55" s="130">
        <f t="shared" si="7"/>
        <v>10.101218380000033</v>
      </c>
      <c r="K55" s="5"/>
      <c r="L55" s="9"/>
      <c r="M55" s="9"/>
      <c r="AP55" s="5"/>
      <c r="AQ55" s="5"/>
      <c r="AR55" s="5"/>
    </row>
    <row r="56" spans="2:44">
      <c r="B56" s="111" t="str">
        <f t="shared" si="2"/>
        <v>Commercial Services (excl. Data centers)</v>
      </c>
      <c r="C56" s="112" t="s">
        <v>397</v>
      </c>
      <c r="D56" s="112" t="str">
        <f>Legend!$A$43</f>
        <v>Electricity</v>
      </c>
      <c r="E56" s="132"/>
      <c r="F56" s="134"/>
      <c r="G56" s="133">
        <f>SUM(G53:G55)</f>
        <v>20.638066067564267</v>
      </c>
      <c r="K56" s="5"/>
      <c r="L56" s="5"/>
      <c r="AP56" s="5"/>
      <c r="AQ56" s="5"/>
      <c r="AR56" s="5"/>
    </row>
    <row r="57" spans="2:44">
      <c r="B57" s="135" t="str">
        <f t="shared" si="2"/>
        <v>Commercial Services (excl. Data centers)</v>
      </c>
      <c r="C57" s="136" t="s">
        <v>399</v>
      </c>
      <c r="D57" s="140" t="s">
        <v>391</v>
      </c>
      <c r="E57" s="135"/>
      <c r="F57" s="137"/>
      <c r="G57" s="133">
        <f>SUM(G35,G44,G47,G52,G56)</f>
        <v>44.568191271280213</v>
      </c>
      <c r="L57" s="5"/>
      <c r="AP57" s="5"/>
      <c r="AQ57" s="5"/>
      <c r="AR57" s="5"/>
    </row>
    <row r="58" spans="2:44">
      <c r="D58" s="5"/>
      <c r="F58" s="138" t="s">
        <v>379</v>
      </c>
      <c r="G58" s="139">
        <f>G57-M17</f>
        <v>6.8920062943789162E-5</v>
      </c>
      <c r="K58" s="5"/>
      <c r="L58" s="5"/>
      <c r="AP58" s="5"/>
      <c r="AQ58" s="5"/>
      <c r="AR58" s="5"/>
    </row>
    <row r="59" spans="2:44">
      <c r="AP59" s="5"/>
      <c r="AQ59" s="5"/>
      <c r="AR59" s="5"/>
    </row>
    <row r="60" spans="2:44">
      <c r="B60" s="6" t="s">
        <v>377</v>
      </c>
      <c r="C60" s="6" t="str">
        <f>"Energy Balance breakdown for "&amp;B64</f>
        <v>Energy Balance breakdown for Public Services (excl. Public lighting)</v>
      </c>
      <c r="AP60" s="5"/>
      <c r="AQ60" s="5"/>
      <c r="AR60" s="5"/>
    </row>
    <row r="61" spans="2:44" ht="29.5" thickBot="1">
      <c r="B61" s="101" t="s">
        <v>378</v>
      </c>
      <c r="C61" s="101" t="s">
        <v>160</v>
      </c>
      <c r="D61" s="12" t="s">
        <v>81</v>
      </c>
      <c r="E61" s="12" t="s">
        <v>388</v>
      </c>
      <c r="F61" s="102" t="s">
        <v>398</v>
      </c>
      <c r="G61" s="109" t="s">
        <v>83</v>
      </c>
      <c r="AP61" s="5"/>
      <c r="AQ61" s="5"/>
      <c r="AR61" s="5"/>
    </row>
    <row r="62" spans="2:44" ht="15" thickBot="1">
      <c r="B62" s="222" t="s">
        <v>477</v>
      </c>
      <c r="C62" s="6"/>
      <c r="D62" s="15"/>
      <c r="E62" s="15"/>
      <c r="F62" s="138" t="s">
        <v>180</v>
      </c>
      <c r="G62" s="124"/>
      <c r="AP62" s="5"/>
      <c r="AQ62" s="5"/>
      <c r="AR62" s="5"/>
    </row>
    <row r="63" spans="2:44">
      <c r="B63" s="129"/>
      <c r="C63" s="129"/>
      <c r="D63" s="68"/>
      <c r="E63" s="68"/>
      <c r="F63" s="141" t="s">
        <v>132</v>
      </c>
      <c r="G63" s="142" t="s">
        <v>46</v>
      </c>
      <c r="AP63" s="5"/>
      <c r="AQ63" s="5"/>
      <c r="AR63" s="5"/>
    </row>
    <row r="64" spans="2:44">
      <c r="B64" s="115" t="str">
        <f t="shared" ref="B64:B96" si="8">$B$18</f>
        <v>Public Services (excl. Public lighting)</v>
      </c>
      <c r="C64" s="125" t="str">
        <f>Legend!$A$24</f>
        <v>Space heating</v>
      </c>
      <c r="D64" s="9" t="str">
        <f>Legend!$A$36</f>
        <v>Solids</v>
      </c>
      <c r="E64" s="9"/>
      <c r="F64" s="131">
        <f t="shared" ref="F64:F73" si="9">F25</f>
        <v>1</v>
      </c>
      <c r="G64" s="130">
        <f t="shared" ref="G64:G72" si="10">SUMIFS($D$18:$L$18,$D$11:$L$11,$D64)*F64</f>
        <v>8.3723408120300749E-5</v>
      </c>
    </row>
    <row r="65" spans="2:7">
      <c r="B65" s="115" t="str">
        <f t="shared" si="8"/>
        <v>Public Services (excl. Public lighting)</v>
      </c>
      <c r="C65" s="125" t="str">
        <f>Legend!$A$24</f>
        <v>Space heating</v>
      </c>
      <c r="D65" s="9" t="str">
        <f>Legend!$A$37</f>
        <v>LPG</v>
      </c>
      <c r="E65" s="9"/>
      <c r="F65" s="126">
        <f t="shared" si="9"/>
        <v>0</v>
      </c>
      <c r="G65" s="130">
        <f t="shared" si="10"/>
        <v>0</v>
      </c>
    </row>
    <row r="66" spans="2:7">
      <c r="B66" s="115" t="str">
        <f t="shared" si="8"/>
        <v>Public Services (excl. Public lighting)</v>
      </c>
      <c r="C66" s="125" t="str">
        <f>Legend!$A$24</f>
        <v>Space heating</v>
      </c>
      <c r="D66" s="9" t="str">
        <f>Legend!$A$38</f>
        <v>Oil</v>
      </c>
      <c r="E66" s="9"/>
      <c r="F66" s="126">
        <f t="shared" si="9"/>
        <v>0.77148994613935973</v>
      </c>
      <c r="G66" s="130">
        <f t="shared" si="10"/>
        <v>3.2426341678937911</v>
      </c>
    </row>
    <row r="67" spans="2:7">
      <c r="B67" s="115" t="str">
        <f t="shared" si="8"/>
        <v>Public Services (excl. Public lighting)</v>
      </c>
      <c r="C67" s="125" t="str">
        <f>Legend!$A$24</f>
        <v>Space heating</v>
      </c>
      <c r="D67" s="9" t="str">
        <f>Legend!$A$39</f>
        <v>Natural Gas</v>
      </c>
      <c r="E67" s="9"/>
      <c r="F67" s="126">
        <f t="shared" si="9"/>
        <v>0.57925202920378049</v>
      </c>
      <c r="G67" s="130">
        <f t="shared" si="10"/>
        <v>3.0743710166932092</v>
      </c>
    </row>
    <row r="68" spans="2:7">
      <c r="B68" s="115" t="str">
        <f t="shared" si="8"/>
        <v>Public Services (excl. Public lighting)</v>
      </c>
      <c r="C68" s="125" t="str">
        <f>Legend!$A$24</f>
        <v>Space heating</v>
      </c>
      <c r="D68" s="9" t="str">
        <f>Legend!$A$40</f>
        <v>Biomass</v>
      </c>
      <c r="E68" s="9"/>
      <c r="F68" s="126">
        <f t="shared" si="9"/>
        <v>1</v>
      </c>
      <c r="G68" s="130">
        <f t="shared" si="10"/>
        <v>0.4548290238370799</v>
      </c>
    </row>
    <row r="69" spans="2:7">
      <c r="B69" s="115" t="str">
        <f t="shared" si="8"/>
        <v>Public Services (excl. Public lighting)</v>
      </c>
      <c r="C69" s="125" t="str">
        <f>Legend!$A$24</f>
        <v>Space heating</v>
      </c>
      <c r="D69" s="19" t="str">
        <f>Legend!$A$41</f>
        <v>Biogas</v>
      </c>
      <c r="E69" s="9"/>
      <c r="F69" s="131">
        <f t="shared" si="9"/>
        <v>1</v>
      </c>
      <c r="G69" s="130">
        <f t="shared" si="10"/>
        <v>0.20169130173120231</v>
      </c>
    </row>
    <row r="70" spans="2:7">
      <c r="B70" s="115" t="str">
        <f t="shared" si="8"/>
        <v>Public Services (excl. Public lighting)</v>
      </c>
      <c r="C70" s="125" t="str">
        <f>Legend!$A$24</f>
        <v>Space heating</v>
      </c>
      <c r="D70" s="19" t="str">
        <f>Legend!$A$42</f>
        <v>Solar</v>
      </c>
      <c r="E70" s="9"/>
      <c r="F70" s="126">
        <f t="shared" si="9"/>
        <v>0</v>
      </c>
      <c r="G70" s="130">
        <f t="shared" si="10"/>
        <v>0</v>
      </c>
    </row>
    <row r="71" spans="2:7">
      <c r="B71" s="115" t="str">
        <f t="shared" si="8"/>
        <v>Public Services (excl. Public lighting)</v>
      </c>
      <c r="C71" s="125" t="str">
        <f>Legend!$A$24</f>
        <v>Space heating</v>
      </c>
      <c r="D71" s="9" t="str">
        <f>Legend!$A$43</f>
        <v>Electricity</v>
      </c>
      <c r="E71" s="9" t="s">
        <v>389</v>
      </c>
      <c r="F71" s="126">
        <f t="shared" si="9"/>
        <v>2.0979079880167242E-2</v>
      </c>
      <c r="G71" s="130">
        <f>SUMIFS($D$18:$L$18,$D$11:$L$11,$D71)*F71</f>
        <v>0.17911491115489805</v>
      </c>
    </row>
    <row r="72" spans="2:7">
      <c r="B72" s="115" t="str">
        <f t="shared" si="8"/>
        <v>Public Services (excl. Public lighting)</v>
      </c>
      <c r="C72" s="125" t="str">
        <f>Legend!$A$24</f>
        <v>Space heating</v>
      </c>
      <c r="D72" s="9" t="str">
        <f>Legend!$A$43</f>
        <v>Electricity</v>
      </c>
      <c r="E72" s="9" t="s">
        <v>390</v>
      </c>
      <c r="F72" s="126">
        <f t="shared" si="9"/>
        <v>9.0683292361053588E-2</v>
      </c>
      <c r="G72" s="130">
        <f t="shared" si="10"/>
        <v>0.77423461597278942</v>
      </c>
    </row>
    <row r="73" spans="2:7">
      <c r="B73" s="115" t="str">
        <f t="shared" si="8"/>
        <v>Public Services (excl. Public lighting)</v>
      </c>
      <c r="C73" s="125" t="str">
        <f>Legend!$A$24</f>
        <v>Space heating</v>
      </c>
      <c r="D73" s="9" t="str">
        <f>Legend!$A$44</f>
        <v>Ambient Heat</v>
      </c>
      <c r="E73" s="9"/>
      <c r="F73" s="131">
        <f t="shared" si="9"/>
        <v>1</v>
      </c>
      <c r="G73" s="130">
        <f>SUMIFS($D$18:$L$18,$D$11:$L$11,$D73)*F73</f>
        <v>0</v>
      </c>
    </row>
    <row r="74" spans="2:7">
      <c r="B74" s="111" t="str">
        <f t="shared" si="8"/>
        <v>Public Services (excl. Public lighting)</v>
      </c>
      <c r="C74" s="112" t="str">
        <f>Legend!$A$24</f>
        <v>Space heating</v>
      </c>
      <c r="D74" s="112" t="s">
        <v>391</v>
      </c>
      <c r="E74" s="132"/>
      <c r="F74" s="134"/>
      <c r="G74" s="133">
        <f>SUM(G64:G73)</f>
        <v>7.9269587606910905</v>
      </c>
    </row>
    <row r="75" spans="2:7">
      <c r="B75" s="115" t="str">
        <f t="shared" si="8"/>
        <v>Public Services (excl. Public lighting)</v>
      </c>
      <c r="C75" s="125" t="str">
        <f>Legend!$A$25</f>
        <v>Water heating</v>
      </c>
      <c r="D75" s="9" t="str">
        <f>Legend!$A$36</f>
        <v>Solids</v>
      </c>
      <c r="F75" s="126">
        <f t="shared" ref="F75:F82" si="11">F36</f>
        <v>0</v>
      </c>
      <c r="G75" s="130">
        <f t="shared" ref="G75:G82" si="12">SUMIFS($D$18:$L$18,$D$11:$L$11,$D75)*F75</f>
        <v>0</v>
      </c>
    </row>
    <row r="76" spans="2:7">
      <c r="B76" s="115" t="str">
        <f t="shared" si="8"/>
        <v>Public Services (excl. Public lighting)</v>
      </c>
      <c r="C76" s="125" t="str">
        <f>Legend!$A$25</f>
        <v>Water heating</v>
      </c>
      <c r="D76" s="9" t="str">
        <f>Legend!$A$37</f>
        <v>LPG</v>
      </c>
      <c r="F76" s="126">
        <f t="shared" si="11"/>
        <v>0</v>
      </c>
      <c r="G76" s="130">
        <f t="shared" si="12"/>
        <v>0</v>
      </c>
    </row>
    <row r="77" spans="2:7">
      <c r="B77" s="115" t="str">
        <f t="shared" si="8"/>
        <v>Public Services (excl. Public lighting)</v>
      </c>
      <c r="C77" s="125" t="str">
        <f>Legend!$A$25</f>
        <v>Water heating</v>
      </c>
      <c r="D77" s="9" t="str">
        <f>Legend!$A$38</f>
        <v>Oil</v>
      </c>
      <c r="F77" s="126">
        <f t="shared" si="11"/>
        <v>0.2285100538606403</v>
      </c>
      <c r="G77" s="130">
        <f t="shared" si="12"/>
        <v>0.96044609792220836</v>
      </c>
    </row>
    <row r="78" spans="2:7">
      <c r="B78" s="115" t="str">
        <f t="shared" si="8"/>
        <v>Public Services (excl. Public lighting)</v>
      </c>
      <c r="C78" s="125" t="str">
        <f>Legend!$A$25</f>
        <v>Water heating</v>
      </c>
      <c r="D78" s="9" t="str">
        <f>Legend!$A$39</f>
        <v>Natural Gas</v>
      </c>
      <c r="F78" s="126">
        <f t="shared" si="11"/>
        <v>0.17174852165350002</v>
      </c>
      <c r="G78" s="130">
        <f t="shared" si="12"/>
        <v>0.9115525721286164</v>
      </c>
    </row>
    <row r="79" spans="2:7">
      <c r="B79" s="115" t="str">
        <f t="shared" si="8"/>
        <v>Public Services (excl. Public lighting)</v>
      </c>
      <c r="C79" s="125" t="str">
        <f>Legend!$A$25</f>
        <v>Water heating</v>
      </c>
      <c r="D79" s="9" t="str">
        <f>Legend!$A$40</f>
        <v>Biomass</v>
      </c>
      <c r="F79" s="126">
        <f t="shared" si="11"/>
        <v>0</v>
      </c>
      <c r="G79" s="130">
        <f t="shared" si="12"/>
        <v>0</v>
      </c>
    </row>
    <row r="80" spans="2:7">
      <c r="B80" s="115" t="str">
        <f t="shared" si="8"/>
        <v>Public Services (excl. Public lighting)</v>
      </c>
      <c r="C80" s="125" t="str">
        <f>Legend!$A$25</f>
        <v>Water heating</v>
      </c>
      <c r="D80" s="9" t="str">
        <f>Legend!$A$41</f>
        <v>Biogas</v>
      </c>
      <c r="F80" s="131">
        <f t="shared" si="11"/>
        <v>0</v>
      </c>
      <c r="G80" s="130">
        <f t="shared" si="12"/>
        <v>0</v>
      </c>
    </row>
    <row r="81" spans="2:7">
      <c r="B81" s="115" t="str">
        <f t="shared" si="8"/>
        <v>Public Services (excl. Public lighting)</v>
      </c>
      <c r="C81" s="125" t="str">
        <f>Legend!$A$25</f>
        <v>Water heating</v>
      </c>
      <c r="D81" s="9" t="str">
        <f>Legend!$A$43</f>
        <v>Electricity</v>
      </c>
      <c r="F81" s="126">
        <f t="shared" si="11"/>
        <v>5.144655820488965E-2</v>
      </c>
      <c r="G81" s="130">
        <f t="shared" si="12"/>
        <v>0.43923974524761861</v>
      </c>
    </row>
    <row r="82" spans="2:7">
      <c r="B82" s="115" t="str">
        <f t="shared" si="8"/>
        <v>Public Services (excl. Public lighting)</v>
      </c>
      <c r="C82" s="125" t="str">
        <f>Legend!$A$25</f>
        <v>Water heating</v>
      </c>
      <c r="D82" s="9" t="str">
        <f>Legend!$A$42</f>
        <v>Solar</v>
      </c>
      <c r="F82" s="126">
        <f t="shared" si="11"/>
        <v>0.99999999999999989</v>
      </c>
      <c r="G82" s="130">
        <f t="shared" si="12"/>
        <v>0</v>
      </c>
    </row>
    <row r="83" spans="2:7">
      <c r="B83" s="111" t="str">
        <f t="shared" si="8"/>
        <v>Public Services (excl. Public lighting)</v>
      </c>
      <c r="C83" s="112" t="str">
        <f>Legend!$A$25</f>
        <v>Water heating</v>
      </c>
      <c r="D83" s="112" t="s">
        <v>391</v>
      </c>
      <c r="E83" s="132"/>
      <c r="F83" s="134"/>
      <c r="G83" s="133">
        <f>SUM(G75:G82)</f>
        <v>2.3112384152984431</v>
      </c>
    </row>
    <row r="84" spans="2:7">
      <c r="B84" s="115" t="str">
        <f t="shared" si="8"/>
        <v>Public Services (excl. Public lighting)</v>
      </c>
      <c r="C84" s="125" t="str">
        <f>Legend!$A$26</f>
        <v>Space cooling</v>
      </c>
      <c r="D84" s="5" t="str">
        <f>Legend!$A$39</f>
        <v>Natural Gas</v>
      </c>
      <c r="F84" s="127">
        <f>F45</f>
        <v>5.5954037870663276E-4</v>
      </c>
      <c r="G84" s="130">
        <f t="shared" ref="G84:G85" si="13">SUMIFS($D$18:$L$18,$D$11:$L$11,$D84)*F84</f>
        <v>2.9697517423111805E-3</v>
      </c>
    </row>
    <row r="85" spans="2:7">
      <c r="B85" s="115" t="str">
        <f t="shared" si="8"/>
        <v>Public Services (excl. Public lighting)</v>
      </c>
      <c r="C85" s="125" t="str">
        <f>Legend!$A$26</f>
        <v>Space cooling</v>
      </c>
      <c r="D85" s="5" t="str">
        <f>Legend!$A$43</f>
        <v>Electricity</v>
      </c>
      <c r="F85" s="127">
        <f>F46</f>
        <v>4.5127826308389997E-2</v>
      </c>
      <c r="G85" s="130">
        <f t="shared" si="13"/>
        <v>0.38529175950573236</v>
      </c>
    </row>
    <row r="86" spans="2:7">
      <c r="B86" s="111" t="str">
        <f t="shared" si="8"/>
        <v>Public Services (excl. Public lighting)</v>
      </c>
      <c r="C86" s="112" t="str">
        <f>Legend!$A$26</f>
        <v>Space cooling</v>
      </c>
      <c r="D86" s="112" t="s">
        <v>391</v>
      </c>
      <c r="E86" s="132"/>
      <c r="F86" s="134"/>
      <c r="G86" s="133">
        <f>SUM(G84:G85)</f>
        <v>0.38826151124804353</v>
      </c>
    </row>
    <row r="87" spans="2:7">
      <c r="B87" s="115" t="str">
        <f t="shared" si="8"/>
        <v>Public Services (excl. Public lighting)</v>
      </c>
      <c r="C87" s="125" t="str">
        <f>Legend!$A$28</f>
        <v>Cooking</v>
      </c>
      <c r="D87" s="5" t="str">
        <f>Legend!$A$37</f>
        <v>LPG</v>
      </c>
      <c r="F87" s="126">
        <f>F48</f>
        <v>0.99999999999999989</v>
      </c>
      <c r="G87" s="130">
        <f t="shared" ref="G87:G90" si="14">SUMIFS($D$18:$L$18,$D$11:$L$11,$D87)*F87</f>
        <v>0.92214284366930133</v>
      </c>
    </row>
    <row r="88" spans="2:7">
      <c r="B88" s="115" t="str">
        <f t="shared" si="8"/>
        <v>Public Services (excl. Public lighting)</v>
      </c>
      <c r="C88" s="125" t="str">
        <f>Legend!$A$28</f>
        <v>Cooking</v>
      </c>
      <c r="D88" s="5" t="str">
        <f>Legend!$A$39</f>
        <v>Natural Gas</v>
      </c>
      <c r="F88" s="126">
        <f>F49</f>
        <v>0.24844748726336943</v>
      </c>
      <c r="G88" s="130">
        <f t="shared" si="14"/>
        <v>1.3186311234207986</v>
      </c>
    </row>
    <row r="89" spans="2:7">
      <c r="B89" s="115" t="str">
        <f t="shared" si="8"/>
        <v>Public Services (excl. Public lighting)</v>
      </c>
      <c r="C89" s="125" t="str">
        <f>Legend!$A$28</f>
        <v>Cooking</v>
      </c>
      <c r="D89" s="5" t="str">
        <f>Legend!$A$40</f>
        <v>Biomass</v>
      </c>
      <c r="F89" s="126">
        <f>F50</f>
        <v>0</v>
      </c>
      <c r="G89" s="130">
        <f t="shared" si="14"/>
        <v>0</v>
      </c>
    </row>
    <row r="90" spans="2:7">
      <c r="B90" s="115" t="str">
        <f t="shared" si="8"/>
        <v>Public Services (excl. Public lighting)</v>
      </c>
      <c r="C90" s="125" t="str">
        <f>Legend!$A$28</f>
        <v>Cooking</v>
      </c>
      <c r="D90" s="5" t="str">
        <f>Legend!$A$43</f>
        <v>Electricity</v>
      </c>
      <c r="F90" s="126">
        <f>F51</f>
        <v>9.8223015432927246E-2</v>
      </c>
      <c r="G90" s="130">
        <f t="shared" si="14"/>
        <v>0.83860716404759184</v>
      </c>
    </row>
    <row r="91" spans="2:7">
      <c r="B91" s="111" t="str">
        <f t="shared" si="8"/>
        <v>Public Services (excl. Public lighting)</v>
      </c>
      <c r="C91" s="112" t="str">
        <f>Legend!$A$28</f>
        <v>Cooking</v>
      </c>
      <c r="D91" s="112" t="s">
        <v>391</v>
      </c>
      <c r="E91" s="132"/>
      <c r="F91" s="134"/>
      <c r="G91" s="133">
        <f>SUM(G87:G90)</f>
        <v>3.0793811311376915</v>
      </c>
    </row>
    <row r="92" spans="2:7">
      <c r="B92" s="115" t="str">
        <f t="shared" si="8"/>
        <v>Public Services (excl. Public lighting)</v>
      </c>
      <c r="C92" s="5" t="str">
        <f>Legend!$A$29</f>
        <v>Building lighting</v>
      </c>
      <c r="D92" s="5" t="str">
        <f>Legend!$A$43</f>
        <v>Electricity</v>
      </c>
      <c r="F92" s="128">
        <f>F53</f>
        <v>0.25516550175799979</v>
      </c>
      <c r="G92" s="130">
        <f t="shared" ref="G92:G94" si="15">SUMIFS($D$18:$L$18,$D$11:$L$11,$D92)*F92</f>
        <v>2.1785486512392636</v>
      </c>
    </row>
    <row r="93" spans="2:7">
      <c r="B93" s="115" t="str">
        <f t="shared" si="8"/>
        <v>Public Services (excl. Public lighting)</v>
      </c>
      <c r="C93" s="5" t="str">
        <f>Legend!$A$30</f>
        <v>Refrigeration</v>
      </c>
      <c r="D93" s="5" t="str">
        <f>Legend!$A$43</f>
        <v>Electricity</v>
      </c>
      <c r="F93" s="128">
        <f>F54</f>
        <v>9.892425266646325E-2</v>
      </c>
      <c r="G93" s="130">
        <f t="shared" si="15"/>
        <v>0.84459417803966141</v>
      </c>
    </row>
    <row r="94" spans="2:7">
      <c r="B94" s="115" t="str">
        <f t="shared" si="8"/>
        <v>Public Services (excl. Public lighting)</v>
      </c>
      <c r="C94" s="5" t="str">
        <f>Legend!$A$31</f>
        <v>Other appliances</v>
      </c>
      <c r="D94" s="5" t="str">
        <f>Legend!$A$43</f>
        <v>Electricity</v>
      </c>
      <c r="F94" s="128">
        <f>F55</f>
        <v>0.3394504733881093</v>
      </c>
      <c r="G94" s="130">
        <f t="shared" si="15"/>
        <v>2.8981557689704829</v>
      </c>
    </row>
    <row r="95" spans="2:7">
      <c r="B95" s="111" t="str">
        <f t="shared" si="8"/>
        <v>Public Services (excl. Public lighting)</v>
      </c>
      <c r="C95" s="112" t="s">
        <v>397</v>
      </c>
      <c r="D95" s="112" t="str">
        <f>Legend!$A$43</f>
        <v>Electricity</v>
      </c>
      <c r="E95" s="132"/>
      <c r="F95" s="134"/>
      <c r="G95" s="133">
        <f>SUM(G92:G94)</f>
        <v>5.9212985982494075</v>
      </c>
    </row>
    <row r="96" spans="2:7">
      <c r="B96" s="135" t="str">
        <f t="shared" si="8"/>
        <v>Public Services (excl. Public lighting)</v>
      </c>
      <c r="C96" s="136" t="s">
        <v>399</v>
      </c>
      <c r="D96" s="140" t="s">
        <v>391</v>
      </c>
      <c r="E96" s="135"/>
      <c r="F96" s="137"/>
      <c r="G96" s="133">
        <f>SUM(G74,G83,G86,G91,G95)</f>
        <v>19.627138416624675</v>
      </c>
    </row>
    <row r="97" spans="4:7">
      <c r="D97" s="5"/>
      <c r="F97" s="138" t="s">
        <v>379</v>
      </c>
      <c r="G97" s="139">
        <f>G96-M18</f>
        <v>4.0222765903763502E-5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4" tint="0.59999389629810485"/>
  </sheetPr>
  <dimension ref="A1:N116"/>
  <sheetViews>
    <sheetView showGridLines="0" topLeftCell="A52" zoomScale="80" zoomScaleNormal="80" workbookViewId="0">
      <selection activeCell="F75" activeCellId="1" sqref="F80 F75"/>
    </sheetView>
  </sheetViews>
  <sheetFormatPr defaultColWidth="9.1796875" defaultRowHeight="14.5"/>
  <cols>
    <col min="1" max="1" width="23.7265625" style="9" customWidth="1"/>
    <col min="2" max="2" width="20.7265625" style="9" bestFit="1" customWidth="1"/>
    <col min="3" max="3" width="25" style="9" customWidth="1"/>
    <col min="4" max="4" width="13.453125" style="9" customWidth="1"/>
    <col min="5" max="5" width="17.26953125" style="9" bestFit="1" customWidth="1"/>
    <col min="6" max="14" width="13.26953125" style="9" customWidth="1"/>
    <col min="15" max="16384" width="9.1796875" style="9"/>
  </cols>
  <sheetData>
    <row r="1" spans="1:12" ht="23.5">
      <c r="A1" s="20" t="s">
        <v>164</v>
      </c>
    </row>
    <row r="2" spans="1:12" customFormat="1"/>
    <row r="3" spans="1:12" ht="21">
      <c r="A3" s="64" t="s">
        <v>90</v>
      </c>
    </row>
    <row r="4" spans="1:12" ht="15" thickBot="1">
      <c r="A4" s="12"/>
      <c r="B4" s="12" t="s">
        <v>42</v>
      </c>
      <c r="C4" s="12" t="s">
        <v>0</v>
      </c>
      <c r="D4" s="12">
        <f>Legend!$B$5</f>
        <v>2018</v>
      </c>
    </row>
    <row r="5" spans="1:12" ht="16.5">
      <c r="A5" s="9" t="s">
        <v>157</v>
      </c>
      <c r="B5" s="9" t="s">
        <v>180</v>
      </c>
      <c r="C5" s="69" t="s">
        <v>165</v>
      </c>
      <c r="D5" s="148">
        <v>87.053206529921553</v>
      </c>
    </row>
    <row r="6" spans="1:12" ht="16.5">
      <c r="A6" s="14" t="s">
        <v>158</v>
      </c>
      <c r="B6" s="14" t="s">
        <v>482</v>
      </c>
      <c r="C6" s="14" t="s">
        <v>166</v>
      </c>
      <c r="D6" s="232">
        <f>'CSO data'!O36</f>
        <v>670</v>
      </c>
    </row>
    <row r="8" spans="1:12" ht="21">
      <c r="A8" s="64" t="s">
        <v>57</v>
      </c>
      <c r="B8" s="65"/>
      <c r="C8" s="65"/>
      <c r="D8" s="65"/>
      <c r="E8" s="65"/>
      <c r="F8" s="65"/>
      <c r="G8" s="65"/>
      <c r="H8" s="65"/>
      <c r="I8" s="65"/>
    </row>
    <row r="9" spans="1:12" customFormat="1">
      <c r="A9" s="9" t="s">
        <v>401</v>
      </c>
      <c r="H9" s="60"/>
      <c r="I9" s="210"/>
      <c r="J9" s="210"/>
      <c r="K9" s="208"/>
      <c r="L9" s="208"/>
    </row>
    <row r="10" spans="1:12" ht="15" thickBot="1">
      <c r="A10" s="12"/>
      <c r="B10" s="12"/>
      <c r="C10" s="12" t="s">
        <v>80</v>
      </c>
      <c r="D10" s="12" t="s">
        <v>111</v>
      </c>
      <c r="H10" s="60"/>
      <c r="I10" s="210"/>
      <c r="J10" s="210"/>
      <c r="K10" s="208"/>
      <c r="L10" s="208"/>
    </row>
    <row r="11" spans="1:12" ht="15" thickBot="1">
      <c r="A11" s="222" t="s">
        <v>152</v>
      </c>
      <c r="B11" s="15"/>
      <c r="C11" s="222" t="s">
        <v>122</v>
      </c>
      <c r="D11" s="15"/>
      <c r="H11" s="60"/>
      <c r="I11" s="210"/>
      <c r="J11" s="210"/>
      <c r="K11" s="208"/>
      <c r="L11" s="208"/>
    </row>
    <row r="12" spans="1:12" ht="16.5">
      <c r="A12" s="17"/>
      <c r="B12" s="17"/>
      <c r="C12" s="17" t="s">
        <v>132</v>
      </c>
      <c r="D12" s="76" t="s">
        <v>165</v>
      </c>
      <c r="F12" s="15"/>
      <c r="H12" s="60"/>
      <c r="I12" s="210"/>
      <c r="J12" s="210"/>
      <c r="K12" s="208"/>
      <c r="L12" s="208"/>
    </row>
    <row r="13" spans="1:12">
      <c r="A13" s="9" t="s">
        <v>59</v>
      </c>
      <c r="C13" s="145">
        <v>0.23</v>
      </c>
      <c r="D13" s="52">
        <f>C13*$D$5</f>
        <v>20.022237501881957</v>
      </c>
      <c r="H13" s="60"/>
      <c r="I13" s="210"/>
      <c r="J13" s="210"/>
      <c r="K13" s="208"/>
      <c r="L13" s="208"/>
    </row>
    <row r="14" spans="1:12">
      <c r="B14" s="61" t="s">
        <v>61</v>
      </c>
      <c r="C14" s="147">
        <v>0.4</v>
      </c>
      <c r="D14" s="70">
        <f>D13*C14</f>
        <v>8.0088950007527835</v>
      </c>
      <c r="H14" s="60"/>
      <c r="I14" s="210"/>
      <c r="J14" s="210"/>
      <c r="K14" s="208"/>
      <c r="L14" s="208"/>
    </row>
    <row r="15" spans="1:12">
      <c r="B15" s="61" t="s">
        <v>60</v>
      </c>
      <c r="C15" s="147">
        <f>1-C14</f>
        <v>0.6</v>
      </c>
      <c r="D15" s="70">
        <f>D13*C15</f>
        <v>12.013342501129173</v>
      </c>
      <c r="H15" s="60"/>
      <c r="I15" s="210"/>
      <c r="K15" s="208"/>
      <c r="L15" s="208"/>
    </row>
    <row r="16" spans="1:12">
      <c r="A16" s="9" t="s">
        <v>58</v>
      </c>
      <c r="C16" s="145">
        <v>0.28000000000000003</v>
      </c>
      <c r="D16" s="52">
        <f t="shared" ref="D16:D20" si="0">C16*$D$5</f>
        <v>24.374897828378039</v>
      </c>
      <c r="H16" s="60"/>
      <c r="I16" s="210"/>
      <c r="J16" s="210"/>
      <c r="K16" s="208"/>
      <c r="L16" s="208"/>
    </row>
    <row r="17" spans="1:12">
      <c r="A17" s="9" t="s">
        <v>62</v>
      </c>
      <c r="C17" s="145">
        <v>0.11</v>
      </c>
      <c r="D17" s="52">
        <f t="shared" si="0"/>
        <v>9.5758527182913706</v>
      </c>
      <c r="H17" s="60"/>
      <c r="I17" s="210"/>
      <c r="J17" s="210"/>
      <c r="K17" s="208"/>
      <c r="L17" s="208"/>
    </row>
    <row r="18" spans="1:12">
      <c r="A18" s="9" t="s">
        <v>63</v>
      </c>
      <c r="C18" s="145">
        <v>7.0000000000000007E-2</v>
      </c>
      <c r="D18" s="52">
        <f t="shared" si="0"/>
        <v>6.0937244570945097</v>
      </c>
      <c r="H18" s="60"/>
      <c r="I18" s="210"/>
      <c r="K18" s="208"/>
      <c r="L18" s="208"/>
    </row>
    <row r="19" spans="1:12">
      <c r="A19" s="9" t="s">
        <v>64</v>
      </c>
      <c r="C19" s="145">
        <v>0.17</v>
      </c>
      <c r="D19" s="52">
        <f t="shared" si="0"/>
        <v>14.799045110086665</v>
      </c>
      <c r="H19" s="60"/>
      <c r="I19" s="210"/>
      <c r="J19" s="210"/>
      <c r="K19" s="208"/>
      <c r="L19" s="208"/>
    </row>
    <row r="20" spans="1:12">
      <c r="A20" s="14" t="s">
        <v>65</v>
      </c>
      <c r="B20" s="14"/>
      <c r="C20" s="146">
        <f>1-SUM(C16:C19,C13)</f>
        <v>0.14000000000000001</v>
      </c>
      <c r="D20" s="149">
        <f t="shared" si="0"/>
        <v>12.187448914189019</v>
      </c>
      <c r="H20" s="60"/>
      <c r="I20" s="210"/>
      <c r="J20" s="210"/>
      <c r="K20" s="208"/>
      <c r="L20" s="208"/>
    </row>
    <row r="21" spans="1:12">
      <c r="A21" s="9" t="s">
        <v>381</v>
      </c>
      <c r="C21" s="247">
        <f>D21/SUM($D$21:$D$22)</f>
        <v>0.33199999999999996</v>
      </c>
      <c r="D21" s="52">
        <f>(D14+D18+D19)</f>
        <v>28.901664567933956</v>
      </c>
      <c r="H21" s="60"/>
      <c r="I21" s="210"/>
      <c r="J21" s="210"/>
      <c r="K21" s="208"/>
      <c r="L21" s="208"/>
    </row>
    <row r="22" spans="1:12">
      <c r="A22" s="14" t="s">
        <v>380</v>
      </c>
      <c r="B22" s="14"/>
      <c r="C22" s="248">
        <f>D22/SUM($D$21:$D$22)</f>
        <v>0.66799999999999993</v>
      </c>
      <c r="D22" s="149">
        <f>(D15+D16+D17+D20)</f>
        <v>58.151541961987604</v>
      </c>
      <c r="H22" s="60"/>
      <c r="I22" s="210"/>
      <c r="J22" s="210"/>
      <c r="K22" s="208"/>
      <c r="L22" s="208"/>
    </row>
    <row r="24" spans="1:12" ht="21">
      <c r="A24" s="66" t="s">
        <v>79</v>
      </c>
    </row>
    <row r="25" spans="1:12">
      <c r="A25" s="67" t="s">
        <v>176</v>
      </c>
    </row>
    <row r="26" spans="1:12" ht="44" thickBot="1">
      <c r="A26" s="12" t="s">
        <v>378</v>
      </c>
      <c r="B26" s="12" t="s">
        <v>160</v>
      </c>
      <c r="C26" s="12" t="s">
        <v>81</v>
      </c>
      <c r="D26" s="12" t="s">
        <v>172</v>
      </c>
      <c r="E26" s="12" t="s">
        <v>173</v>
      </c>
      <c r="F26" s="13" t="s">
        <v>402</v>
      </c>
      <c r="G26" s="12" t="s">
        <v>129</v>
      </c>
      <c r="H26" s="156" t="s">
        <v>403</v>
      </c>
      <c r="I26" s="156" t="s">
        <v>144</v>
      </c>
      <c r="J26" s="13" t="s">
        <v>174</v>
      </c>
      <c r="K26" s="12" t="s">
        <v>111</v>
      </c>
      <c r="L26" s="13" t="s">
        <v>542</v>
      </c>
    </row>
    <row r="27" spans="1:12" ht="29.5" thickBot="1">
      <c r="A27" s="222" t="s">
        <v>477</v>
      </c>
      <c r="B27" s="223"/>
      <c r="C27" s="223"/>
      <c r="D27" s="223"/>
      <c r="E27" s="223"/>
      <c r="F27" s="224"/>
      <c r="G27" s="222" t="s">
        <v>180</v>
      </c>
      <c r="H27" s="227" t="s">
        <v>404</v>
      </c>
      <c r="I27" s="224" t="s">
        <v>404</v>
      </c>
      <c r="J27" s="225"/>
      <c r="K27" s="223"/>
      <c r="L27" s="224"/>
    </row>
    <row r="28" spans="1:12">
      <c r="A28" s="68"/>
      <c r="B28" s="68"/>
      <c r="C28" s="68"/>
      <c r="D28" s="68"/>
      <c r="E28" s="68"/>
      <c r="F28" s="152" t="s">
        <v>46</v>
      </c>
      <c r="G28" s="17" t="s">
        <v>132</v>
      </c>
      <c r="H28" s="152" t="s">
        <v>96</v>
      </c>
      <c r="I28" s="152" t="s">
        <v>70</v>
      </c>
      <c r="J28" s="17" t="s">
        <v>46</v>
      </c>
      <c r="K28" s="17" t="s">
        <v>67</v>
      </c>
      <c r="L28" s="152" t="s">
        <v>46</v>
      </c>
    </row>
    <row r="29" spans="1:12" ht="15" customHeight="1">
      <c r="A29" s="150" t="str">
        <f>Legend!$A$21</f>
        <v>Commercial Services</v>
      </c>
      <c r="B29" s="150" t="str">
        <f>Legend!$A$24</f>
        <v>Space heating</v>
      </c>
      <c r="C29" s="9" t="str">
        <f>Legend!A36</f>
        <v>Solids</v>
      </c>
      <c r="D29" s="9" t="str">
        <f>Legend!B36</f>
        <v>COA</v>
      </c>
      <c r="E29" s="9" t="str">
        <f>Legend!C36</f>
        <v>SRVCOA</v>
      </c>
      <c r="F29" s="51">
        <f>EB_SRV!G25</f>
        <v>2.3484415977744363E-2</v>
      </c>
      <c r="G29" s="154">
        <v>0.33</v>
      </c>
      <c r="H29" s="159">
        <v>20</v>
      </c>
      <c r="I29" s="159">
        <v>1000</v>
      </c>
      <c r="J29" s="16">
        <f t="shared" ref="J29:J36" si="1">IF(F29=0,0,F29*G29)</f>
        <v>7.74985727265564E-3</v>
      </c>
      <c r="K29" s="16">
        <f t="shared" ref="K29:K36" si="2">J29/(I29/8760*31.536)</f>
        <v>2.1527381312932332E-3</v>
      </c>
      <c r="L29" s="51"/>
    </row>
    <row r="30" spans="1:12" ht="15" customHeight="1">
      <c r="A30" s="107" t="str">
        <f>Legend!$A$21</f>
        <v>Commercial Services</v>
      </c>
      <c r="B30" s="107" t="str">
        <f>Legend!$A$24</f>
        <v>Space heating</v>
      </c>
      <c r="C30" s="9" t="str">
        <f>Legend!A37</f>
        <v>LPG</v>
      </c>
      <c r="D30" s="9" t="str">
        <f>Legend!B37</f>
        <v>LPG</v>
      </c>
      <c r="E30" s="9" t="str">
        <f>Legend!C37</f>
        <v>SRVLPG</v>
      </c>
      <c r="F30" s="51">
        <f>EB_SRV!G26</f>
        <v>0</v>
      </c>
      <c r="G30" s="154">
        <v>0.33</v>
      </c>
      <c r="H30" s="159">
        <v>20</v>
      </c>
      <c r="I30" s="159">
        <v>1000</v>
      </c>
      <c r="J30" s="16">
        <f t="shared" si="1"/>
        <v>0</v>
      </c>
      <c r="K30" s="16">
        <f t="shared" si="2"/>
        <v>0</v>
      </c>
      <c r="L30" s="51"/>
    </row>
    <row r="31" spans="1:12" ht="15" customHeight="1">
      <c r="A31" s="107" t="str">
        <f>Legend!$A$21</f>
        <v>Commercial Services</v>
      </c>
      <c r="B31" s="107" t="str">
        <f>Legend!$A$24</f>
        <v>Space heating</v>
      </c>
      <c r="C31" s="9" t="str">
        <f>Legend!A38</f>
        <v>Oil</v>
      </c>
      <c r="D31" s="9" t="str">
        <f>Legend!B38</f>
        <v>OIL</v>
      </c>
      <c r="E31" s="9" t="str">
        <f>Legend!$C$38</f>
        <v>SRVOIL</v>
      </c>
      <c r="F31" s="51">
        <f>EB_SRV!G27</f>
        <v>2.1882137034458995</v>
      </c>
      <c r="G31" s="154">
        <v>0.6583558448972523</v>
      </c>
      <c r="H31" s="159">
        <v>20</v>
      </c>
      <c r="I31" s="159">
        <v>1000</v>
      </c>
      <c r="J31" s="16">
        <f t="shared" si="1"/>
        <v>1.4406232815478706</v>
      </c>
      <c r="K31" s="16">
        <f t="shared" si="2"/>
        <v>0.40017313376329738</v>
      </c>
      <c r="L31" s="51"/>
    </row>
    <row r="32" spans="1:12" ht="15" customHeight="1">
      <c r="A32" s="107" t="str">
        <f>Legend!$A$21</f>
        <v>Commercial Services</v>
      </c>
      <c r="B32" s="107" t="str">
        <f>Legend!$A$24</f>
        <v>Space heating</v>
      </c>
      <c r="C32" s="9" t="str">
        <f>Legend!A39</f>
        <v>Natural Gas</v>
      </c>
      <c r="D32" s="9" t="str">
        <f>Legend!B39</f>
        <v>GAS</v>
      </c>
      <c r="E32" s="9" t="str">
        <f>Legend!$C$39&amp;", "&amp;Legend!$C$41</f>
        <v>SRVGAS, SRVBGS</v>
      </c>
      <c r="F32" s="51">
        <f>EB_SRV!G28+EB_SRV!G30</f>
        <v>5.3014887998804321</v>
      </c>
      <c r="G32" s="154">
        <v>0.77299617086321282</v>
      </c>
      <c r="H32" s="159">
        <v>20</v>
      </c>
      <c r="I32" s="159">
        <v>1000</v>
      </c>
      <c r="J32" s="16">
        <f t="shared" si="1"/>
        <v>4.0980305421817835</v>
      </c>
      <c r="K32" s="16">
        <f t="shared" si="2"/>
        <v>1.1383418172727175</v>
      </c>
      <c r="L32" s="51"/>
    </row>
    <row r="33" spans="1:12" ht="15" customHeight="1">
      <c r="A33" s="107" t="str">
        <f>Legend!$A$21</f>
        <v>Commercial Services</v>
      </c>
      <c r="B33" s="107" t="str">
        <f>Legend!$A$24</f>
        <v>Space heating</v>
      </c>
      <c r="C33" s="9" t="str">
        <f>Legend!A40</f>
        <v>Biomass</v>
      </c>
      <c r="D33" s="9" t="str">
        <f>Legend!B40</f>
        <v>BIO</v>
      </c>
      <c r="E33" s="9" t="str">
        <f>Legend!C40</f>
        <v>SRVBIO</v>
      </c>
      <c r="F33" s="51">
        <f>EB_SRV!G29</f>
        <v>0.29850706027836438</v>
      </c>
      <c r="G33" s="154">
        <v>0.63490443337371294</v>
      </c>
      <c r="H33" s="159">
        <v>20</v>
      </c>
      <c r="I33" s="159">
        <v>1000</v>
      </c>
      <c r="J33" s="16">
        <f t="shared" si="1"/>
        <v>0.18952345596408771</v>
      </c>
      <c r="K33" s="16">
        <f t="shared" si="2"/>
        <v>5.2645404434468808E-2</v>
      </c>
      <c r="L33" s="51"/>
    </row>
    <row r="34" spans="1:12" ht="15" customHeight="1">
      <c r="A34" s="107" t="str">
        <f>Legend!$A$21</f>
        <v>Commercial Services</v>
      </c>
      <c r="B34" s="107" t="str">
        <f>Legend!$A$24</f>
        <v>Space heating</v>
      </c>
      <c r="C34" s="9" t="str">
        <f>Legend!A42</f>
        <v>Solar</v>
      </c>
      <c r="D34" s="9" t="str">
        <f>Legend!B42</f>
        <v>SOL</v>
      </c>
      <c r="E34" s="9" t="str">
        <f>Legend!C42</f>
        <v>SRVSOL</v>
      </c>
      <c r="F34" s="51">
        <f>EB_SRV!G31</f>
        <v>0</v>
      </c>
      <c r="G34" s="154">
        <f>IF(F34=0,0.33,G44)</f>
        <v>0.33</v>
      </c>
      <c r="H34" s="159">
        <v>15</v>
      </c>
      <c r="I34" s="159">
        <v>1000</v>
      </c>
      <c r="J34" s="16">
        <f t="shared" si="1"/>
        <v>0</v>
      </c>
      <c r="K34" s="16">
        <f t="shared" si="2"/>
        <v>0</v>
      </c>
      <c r="L34" s="51"/>
    </row>
    <row r="35" spans="1:12" ht="15" customHeight="1">
      <c r="A35" s="107" t="str">
        <f>Legend!$A$21</f>
        <v>Commercial Services</v>
      </c>
      <c r="B35" s="107" t="str">
        <f>Legend!$A$24</f>
        <v>Space heating</v>
      </c>
      <c r="C35" s="5" t="s">
        <v>170</v>
      </c>
      <c r="D35" s="5" t="str">
        <f>Legend!B43&amp;"-HP"</f>
        <v>ELC-HP</v>
      </c>
      <c r="E35" s="9" t="str">
        <f>Legend!C43&amp;","&amp;Legend!C44</f>
        <v>SRVELC,SRVAHT</v>
      </c>
      <c r="F35" s="51">
        <f>EB_SRV!G32</f>
        <v>0.624286262340082</v>
      </c>
      <c r="G35" s="154">
        <v>2.1</v>
      </c>
      <c r="H35" s="159">
        <v>10</v>
      </c>
      <c r="I35" s="159">
        <v>1000</v>
      </c>
      <c r="J35" s="16">
        <f>IF(F35=0,0,F35*G35)</f>
        <v>1.3110011509141724</v>
      </c>
      <c r="K35" s="16">
        <f t="shared" si="2"/>
        <v>0.36416698636504785</v>
      </c>
      <c r="L35" s="51">
        <f>EB_SRV!G34</f>
        <v>0.65533684376361445</v>
      </c>
    </row>
    <row r="36" spans="1:12" ht="15" customHeight="1">
      <c r="A36" s="151" t="str">
        <f>Legend!$A$21</f>
        <v>Commercial Services</v>
      </c>
      <c r="B36" s="151" t="str">
        <f>Legend!$A$24</f>
        <v>Space heating</v>
      </c>
      <c r="C36" s="10" t="s">
        <v>171</v>
      </c>
      <c r="D36" s="10" t="str">
        <f>Legend!B43</f>
        <v>ELC</v>
      </c>
      <c r="E36" s="10" t="str">
        <f>Legend!C43</f>
        <v>SRVELC</v>
      </c>
      <c r="F36" s="153">
        <f>EB_SRV!G33</f>
        <v>2.6985136606631648</v>
      </c>
      <c r="G36" s="155">
        <v>0.81595511259153475</v>
      </c>
      <c r="H36" s="160">
        <v>10</v>
      </c>
      <c r="I36" s="160">
        <v>1000</v>
      </c>
      <c r="J36" s="18">
        <f t="shared" si="1"/>
        <v>2.2018660178162071</v>
      </c>
      <c r="K36" s="18">
        <f t="shared" si="2"/>
        <v>0.61162944939339081</v>
      </c>
      <c r="L36" s="153"/>
    </row>
    <row r="37" spans="1:12" ht="15" customHeight="1">
      <c r="A37" s="252" t="str">
        <f>Legend!$A$21</f>
        <v>Commercial Services</v>
      </c>
      <c r="B37" s="251" t="str">
        <f>Legend!$A$24</f>
        <v>Space heating</v>
      </c>
      <c r="C37" s="112" t="s">
        <v>391</v>
      </c>
      <c r="D37" s="250"/>
      <c r="E37" s="250"/>
      <c r="F37" s="215">
        <f>SUM(F29:F36)</f>
        <v>11.134493902585687</v>
      </c>
      <c r="G37" s="269"/>
      <c r="H37" s="253"/>
      <c r="I37" s="253"/>
      <c r="J37" s="249">
        <f>SUM(J29:J36)</f>
        <v>9.2487943056967765</v>
      </c>
      <c r="K37" s="249">
        <f>SUM(K29:K36)</f>
        <v>2.5691095293602157</v>
      </c>
      <c r="L37" s="215"/>
    </row>
    <row r="38" spans="1:12" ht="15" customHeight="1">
      <c r="A38" s="107" t="str">
        <f>Legend!$A$21</f>
        <v>Commercial Services</v>
      </c>
      <c r="B38" s="107" t="str">
        <f>Legend!$A$25</f>
        <v>Water heating</v>
      </c>
      <c r="C38" s="9" t="str">
        <f>Legend!A36</f>
        <v>Solids</v>
      </c>
      <c r="D38" s="9" t="str">
        <f>Legend!B36</f>
        <v>COA</v>
      </c>
      <c r="E38" s="9" t="str">
        <f>Legend!C36</f>
        <v>SRVCOA</v>
      </c>
      <c r="F38" s="51">
        <f>EB_SRV!G36</f>
        <v>0</v>
      </c>
      <c r="G38" s="154">
        <v>0.33</v>
      </c>
      <c r="H38" s="161">
        <v>20</v>
      </c>
      <c r="I38" s="161">
        <v>200</v>
      </c>
      <c r="J38" s="16">
        <f t="shared" ref="J38:J44" si="3">IF(F38=0,0,F38*G38)</f>
        <v>0</v>
      </c>
      <c r="K38" s="16">
        <f t="shared" ref="K38:K44" si="4">J38/(I38/8760*31.536)</f>
        <v>0</v>
      </c>
      <c r="L38" s="51"/>
    </row>
    <row r="39" spans="1:12" ht="15" customHeight="1">
      <c r="A39" s="107" t="str">
        <f>Legend!$A$21</f>
        <v>Commercial Services</v>
      </c>
      <c r="B39" s="107" t="str">
        <f>Legend!$A$25</f>
        <v>Water heating</v>
      </c>
      <c r="C39" s="9" t="str">
        <f>Legend!A37</f>
        <v>LPG</v>
      </c>
      <c r="D39" s="9" t="str">
        <f>Legend!B37</f>
        <v>LPG</v>
      </c>
      <c r="E39" s="9" t="str">
        <f>Legend!C37</f>
        <v>SRVLPG</v>
      </c>
      <c r="F39" s="51">
        <f>EB_SRV!G37</f>
        <v>0</v>
      </c>
      <c r="G39" s="154">
        <v>0.33</v>
      </c>
      <c r="H39" s="161">
        <v>20</v>
      </c>
      <c r="I39" s="161">
        <v>200</v>
      </c>
      <c r="J39" s="16">
        <f t="shared" si="3"/>
        <v>0</v>
      </c>
      <c r="K39" s="16">
        <f t="shared" si="4"/>
        <v>0</v>
      </c>
      <c r="L39" s="51"/>
    </row>
    <row r="40" spans="1:12" ht="15" customHeight="1">
      <c r="A40" s="107" t="str">
        <f>Legend!$A$21</f>
        <v>Commercial Services</v>
      </c>
      <c r="B40" s="107" t="str">
        <f>Legend!$A$25</f>
        <v>Water heating</v>
      </c>
      <c r="C40" s="9" t="str">
        <f>Legend!A38</f>
        <v>Oil</v>
      </c>
      <c r="D40" s="9" t="str">
        <f>Legend!B38</f>
        <v>OIL</v>
      </c>
      <c r="E40" s="9" t="str">
        <f>Legend!$C$38</f>
        <v>SRVOIL</v>
      </c>
      <c r="F40" s="51">
        <f>EB_SRV!G38</f>
        <v>0.64813395655410122</v>
      </c>
      <c r="G40" s="154">
        <v>0.59834963673469854</v>
      </c>
      <c r="H40" s="161">
        <v>20</v>
      </c>
      <c r="I40" s="161">
        <v>200</v>
      </c>
      <c r="J40" s="16">
        <f t="shared" si="3"/>
        <v>0.38781071745956935</v>
      </c>
      <c r="K40" s="16">
        <f t="shared" si="4"/>
        <v>0.53862599647162412</v>
      </c>
      <c r="L40" s="51"/>
    </row>
    <row r="41" spans="1:12" ht="15" customHeight="1">
      <c r="A41" s="107" t="str">
        <f>Legend!$A$21</f>
        <v>Commercial Services</v>
      </c>
      <c r="B41" s="107" t="str">
        <f>Legend!$A$25</f>
        <v>Water heating</v>
      </c>
      <c r="C41" s="9" t="str">
        <f>Legend!A39</f>
        <v>Natural Gas</v>
      </c>
      <c r="D41" s="9" t="str">
        <f>Legend!B39</f>
        <v>GAS</v>
      </c>
      <c r="E41" s="9" t="str">
        <f>Legend!$C$39&amp;", "&amp;Legend!$C$41</f>
        <v>SRVGAS, SRVBGS</v>
      </c>
      <c r="F41" s="51">
        <f>EB_SRV!G39+EB_SRV!G41</f>
        <v>1.5619080195178854</v>
      </c>
      <c r="G41" s="154">
        <v>0.63024757853709534</v>
      </c>
      <c r="H41" s="161">
        <v>20</v>
      </c>
      <c r="I41" s="161">
        <v>200</v>
      </c>
      <c r="J41" s="16">
        <f t="shared" si="3"/>
        <v>0.98438874719881753</v>
      </c>
      <c r="K41" s="16">
        <f t="shared" si="4"/>
        <v>1.367206593331691</v>
      </c>
      <c r="L41" s="51"/>
    </row>
    <row r="42" spans="1:12" ht="15" customHeight="1">
      <c r="A42" s="107" t="str">
        <f>Legend!$A$21</f>
        <v>Commercial Services</v>
      </c>
      <c r="B42" s="107" t="str">
        <f>Legend!$A$25</f>
        <v>Water heating</v>
      </c>
      <c r="C42" s="9" t="str">
        <f>Legend!A40</f>
        <v>Biomass</v>
      </c>
      <c r="D42" s="9" t="str">
        <f>Legend!B40</f>
        <v>BIO</v>
      </c>
      <c r="E42" s="9" t="str">
        <f>Legend!C40</f>
        <v>SRVBIO</v>
      </c>
      <c r="F42" s="51">
        <f>EB_SRV!G40</f>
        <v>0</v>
      </c>
      <c r="G42" s="154">
        <v>0.33</v>
      </c>
      <c r="H42" s="161">
        <v>20</v>
      </c>
      <c r="I42" s="161">
        <v>200</v>
      </c>
      <c r="J42" s="16">
        <f t="shared" si="3"/>
        <v>0</v>
      </c>
      <c r="K42" s="16">
        <f t="shared" si="4"/>
        <v>0</v>
      </c>
      <c r="L42" s="51"/>
    </row>
    <row r="43" spans="1:12" ht="15" customHeight="1">
      <c r="A43" s="107" t="str">
        <f>Legend!$A$21</f>
        <v>Commercial Services</v>
      </c>
      <c r="B43" s="107" t="str">
        <f>Legend!$A$25</f>
        <v>Water heating</v>
      </c>
      <c r="C43" s="9" t="str">
        <f>Legend!A43</f>
        <v>Electricity</v>
      </c>
      <c r="D43" s="9" t="str">
        <f>Legend!B43</f>
        <v>ELC</v>
      </c>
      <c r="E43" s="9" t="str">
        <f>Legend!C43</f>
        <v>SRVELC</v>
      </c>
      <c r="F43" s="51">
        <f>EB_SRV!G42</f>
        <v>1.5309241261030941</v>
      </c>
      <c r="G43" s="154">
        <v>0.7791533881609447</v>
      </c>
      <c r="H43" s="161">
        <v>10</v>
      </c>
      <c r="I43" s="161">
        <v>200</v>
      </c>
      <c r="J43" s="16">
        <f t="shared" si="3"/>
        <v>1.1928247198705593</v>
      </c>
      <c r="K43" s="16">
        <f t="shared" si="4"/>
        <v>1.6567009998202213</v>
      </c>
      <c r="L43" s="51"/>
    </row>
    <row r="44" spans="1:12" ht="15" customHeight="1">
      <c r="A44" s="151" t="str">
        <f>Legend!$A$21</f>
        <v>Commercial Services</v>
      </c>
      <c r="B44" s="151" t="str">
        <f>Legend!$A$25</f>
        <v>Water heating</v>
      </c>
      <c r="C44" s="14" t="str">
        <f>Legend!A42</f>
        <v>Solar</v>
      </c>
      <c r="D44" s="14" t="str">
        <f>Legend!B42</f>
        <v>SOL</v>
      </c>
      <c r="E44" s="14" t="str">
        <f>Legend!C42</f>
        <v>SRVSOL</v>
      </c>
      <c r="F44" s="153">
        <f>EB_SRV!G43</f>
        <v>6.9707984942638888E-3</v>
      </c>
      <c r="G44" s="155">
        <v>0.99999999999999989</v>
      </c>
      <c r="H44" s="162">
        <v>15</v>
      </c>
      <c r="I44" s="162">
        <v>200</v>
      </c>
      <c r="J44" s="18">
        <f t="shared" si="3"/>
        <v>6.9707984942638879E-3</v>
      </c>
      <c r="K44" s="18">
        <f t="shared" si="4"/>
        <v>9.6816645753665109E-3</v>
      </c>
      <c r="L44" s="153"/>
    </row>
    <row r="45" spans="1:12" ht="15" customHeight="1">
      <c r="A45" s="252" t="str">
        <f>Legend!$A$21</f>
        <v>Commercial Services</v>
      </c>
      <c r="B45" s="251" t="str">
        <f>Legend!$A$25</f>
        <v>Water heating</v>
      </c>
      <c r="C45" s="112" t="s">
        <v>391</v>
      </c>
      <c r="D45" s="250"/>
      <c r="E45" s="250"/>
      <c r="F45" s="215">
        <f>SUM(F38:F44)</f>
        <v>3.747936900669345</v>
      </c>
      <c r="G45" s="269"/>
      <c r="H45" s="253"/>
      <c r="I45" s="253"/>
      <c r="J45" s="215">
        <f t="shared" ref="J45:K45" si="5">SUM(J38:J44)</f>
        <v>2.5719949830232101</v>
      </c>
      <c r="K45" s="249">
        <f t="shared" si="5"/>
        <v>3.5722152541989032</v>
      </c>
      <c r="L45" s="215"/>
    </row>
    <row r="46" spans="1:12" ht="15" customHeight="1">
      <c r="A46" s="107" t="str">
        <f>Legend!$A$21</f>
        <v>Commercial Services</v>
      </c>
      <c r="B46" s="107" t="str">
        <f>Legend!$A$26</f>
        <v>Space cooling</v>
      </c>
      <c r="C46" s="9" t="str">
        <f>Legend!A39</f>
        <v>Natural Gas</v>
      </c>
      <c r="D46" s="9" t="str">
        <f>Legend!B39</f>
        <v>GAS</v>
      </c>
      <c r="E46" s="9" t="str">
        <f>Legend!$C$39</f>
        <v>SRVGAS</v>
      </c>
      <c r="F46" s="51">
        <f>EB_SRV!G45</f>
        <v>5.0885480488102614E-3</v>
      </c>
      <c r="G46" s="154">
        <v>2.7679848891515557</v>
      </c>
      <c r="H46" s="161">
        <v>15</v>
      </c>
      <c r="I46" s="161">
        <v>300</v>
      </c>
      <c r="J46" s="16">
        <f>IF(F46=0,0,F46*G46)</f>
        <v>1.4085024106828437E-2</v>
      </c>
      <c r="K46" s="16">
        <f>J46/(I46/8760*31.536)</f>
        <v>1.3041688987804107E-2</v>
      </c>
      <c r="L46" s="51"/>
    </row>
    <row r="47" spans="1:12" ht="15" customHeight="1">
      <c r="A47" s="151" t="str">
        <f>Legend!$A$21</f>
        <v>Commercial Services</v>
      </c>
      <c r="B47" s="151" t="str">
        <f>Legend!$A$26</f>
        <v>Space cooling</v>
      </c>
      <c r="C47" s="14" t="str">
        <f>Legend!A43</f>
        <v>Electricity</v>
      </c>
      <c r="D47" s="14" t="str">
        <f>Legend!B43</f>
        <v>ELC</v>
      </c>
      <c r="E47" s="14" t="str">
        <f>Legend!C43</f>
        <v>SRVELC</v>
      </c>
      <c r="F47" s="153">
        <f>EB_SRV!G46</f>
        <v>1.3428940723101257</v>
      </c>
      <c r="G47" s="155">
        <v>2.7466471585410193</v>
      </c>
      <c r="H47" s="162">
        <v>15</v>
      </c>
      <c r="I47" s="162">
        <v>300</v>
      </c>
      <c r="J47" s="18">
        <f>IF(F47=0,0,F47*G47)</f>
        <v>3.6884561879321849</v>
      </c>
      <c r="K47" s="18">
        <f>J47/(I47/8760*31.536)</f>
        <v>3.4152372110483191</v>
      </c>
      <c r="L47" s="153"/>
    </row>
    <row r="48" spans="1:12" ht="15" customHeight="1">
      <c r="A48" s="252" t="str">
        <f>Legend!$A$21</f>
        <v>Commercial Services</v>
      </c>
      <c r="B48" s="251" t="str">
        <f>Legend!$A$26</f>
        <v>Space cooling</v>
      </c>
      <c r="C48" s="112" t="s">
        <v>391</v>
      </c>
      <c r="D48" s="250"/>
      <c r="E48" s="250"/>
      <c r="F48" s="215">
        <f>SUM(F46:F47)</f>
        <v>1.347982620358936</v>
      </c>
      <c r="G48" s="269"/>
      <c r="H48" s="253"/>
      <c r="I48" s="253"/>
      <c r="J48" s="215">
        <f t="shared" ref="J48:K48" si="6">SUM(J46:J47)</f>
        <v>3.7025412120390131</v>
      </c>
      <c r="K48" s="249">
        <f t="shared" si="6"/>
        <v>3.4282789000361231</v>
      </c>
      <c r="L48" s="215"/>
    </row>
    <row r="49" spans="1:12" ht="15" customHeight="1">
      <c r="A49" s="5" t="str">
        <f>Legend!$A$22</f>
        <v>Public Services</v>
      </c>
      <c r="B49" s="107" t="str">
        <f>Legend!$A$24</f>
        <v>Space heating</v>
      </c>
      <c r="C49" s="9" t="str">
        <f t="shared" ref="C49:C56" si="7">C29</f>
        <v>Solids</v>
      </c>
      <c r="D49" s="9" t="str">
        <f>Legend!B36</f>
        <v>COA</v>
      </c>
      <c r="E49" s="9" t="str">
        <f>Legend!C36</f>
        <v>SRVCOA</v>
      </c>
      <c r="F49" s="51">
        <f>EB_SRV!G64</f>
        <v>8.3723408120300749E-5</v>
      </c>
      <c r="G49" s="154">
        <f t="shared" ref="G49:I56" si="8">G29</f>
        <v>0.33</v>
      </c>
      <c r="H49" s="159">
        <f t="shared" si="8"/>
        <v>20</v>
      </c>
      <c r="I49" s="159">
        <f t="shared" si="8"/>
        <v>1000</v>
      </c>
      <c r="J49" s="16">
        <f t="shared" ref="J49:J56" si="9">IF(F49=0,0,F49*G49)</f>
        <v>2.7628724679699248E-5</v>
      </c>
      <c r="K49" s="16">
        <f t="shared" ref="K49:K56" si="10">J49/(I49/8760*31.536)</f>
        <v>7.6746457443609014E-6</v>
      </c>
      <c r="L49" s="51"/>
    </row>
    <row r="50" spans="1:12" ht="15" customHeight="1">
      <c r="A50" s="5" t="str">
        <f>Legend!$A$22</f>
        <v>Public Services</v>
      </c>
      <c r="B50" s="107" t="str">
        <f>Legend!$A$24</f>
        <v>Space heating</v>
      </c>
      <c r="C50" s="9" t="str">
        <f t="shared" si="7"/>
        <v>LPG</v>
      </c>
      <c r="D50" s="9" t="str">
        <f t="shared" ref="D50:E56" si="11">D30</f>
        <v>LPG</v>
      </c>
      <c r="E50" s="9" t="str">
        <f t="shared" si="11"/>
        <v>SRVLPG</v>
      </c>
      <c r="F50" s="51">
        <f>EB_SRV!G65</f>
        <v>0</v>
      </c>
      <c r="G50" s="154">
        <f t="shared" si="8"/>
        <v>0.33</v>
      </c>
      <c r="H50" s="159">
        <f t="shared" si="8"/>
        <v>20</v>
      </c>
      <c r="I50" s="159">
        <f t="shared" si="8"/>
        <v>1000</v>
      </c>
      <c r="J50" s="16">
        <f t="shared" si="9"/>
        <v>0</v>
      </c>
      <c r="K50" s="16">
        <f t="shared" si="10"/>
        <v>0</v>
      </c>
      <c r="L50" s="51"/>
    </row>
    <row r="51" spans="1:12" ht="15" customHeight="1">
      <c r="A51" s="5" t="str">
        <f>Legend!$A$22</f>
        <v>Public Services</v>
      </c>
      <c r="B51" s="107" t="str">
        <f>Legend!$A$24</f>
        <v>Space heating</v>
      </c>
      <c r="C51" s="9" t="str">
        <f t="shared" si="7"/>
        <v>Oil</v>
      </c>
      <c r="D51" s="9" t="str">
        <f t="shared" si="11"/>
        <v>OIL</v>
      </c>
      <c r="E51" s="9" t="str">
        <f t="shared" si="11"/>
        <v>SRVOIL</v>
      </c>
      <c r="F51" s="51">
        <f>EB_SRV!G66</f>
        <v>3.2426341678937911</v>
      </c>
      <c r="G51" s="154">
        <f t="shared" si="8"/>
        <v>0.6583558448972523</v>
      </c>
      <c r="H51" s="159">
        <f t="shared" si="8"/>
        <v>20</v>
      </c>
      <c r="I51" s="159">
        <f t="shared" si="8"/>
        <v>1000</v>
      </c>
      <c r="J51" s="16">
        <f t="shared" si="9"/>
        <v>2.1348071572964153</v>
      </c>
      <c r="K51" s="16">
        <f t="shared" si="10"/>
        <v>0.59300198813789318</v>
      </c>
      <c r="L51" s="51"/>
    </row>
    <row r="52" spans="1:12" ht="15" customHeight="1">
      <c r="A52" s="5" t="str">
        <f>Legend!$A$22</f>
        <v>Public Services</v>
      </c>
      <c r="B52" s="107" t="str">
        <f>Legend!$A$24</f>
        <v>Space heating</v>
      </c>
      <c r="C52" s="9" t="str">
        <f t="shared" si="7"/>
        <v>Natural Gas</v>
      </c>
      <c r="D52" s="9" t="str">
        <f t="shared" si="11"/>
        <v>GAS</v>
      </c>
      <c r="E52" s="9" t="str">
        <f t="shared" si="11"/>
        <v>SRVGAS, SRVBGS</v>
      </c>
      <c r="F52" s="51">
        <f>EB_SRV!G67+EB_SRV!G69</f>
        <v>3.2760623184244118</v>
      </c>
      <c r="G52" s="154">
        <f t="shared" si="8"/>
        <v>0.77299617086321282</v>
      </c>
      <c r="H52" s="159">
        <f t="shared" si="8"/>
        <v>20</v>
      </c>
      <c r="I52" s="159">
        <f t="shared" si="8"/>
        <v>1000</v>
      </c>
      <c r="J52" s="16">
        <f t="shared" si="9"/>
        <v>2.5323836276513298</v>
      </c>
      <c r="K52" s="16">
        <f t="shared" si="10"/>
        <v>0.70343989656981387</v>
      </c>
      <c r="L52" s="51"/>
    </row>
    <row r="53" spans="1:12">
      <c r="A53" s="5" t="str">
        <f>Legend!$A$22</f>
        <v>Public Services</v>
      </c>
      <c r="B53" s="107" t="str">
        <f>Legend!$A$24</f>
        <v>Space heating</v>
      </c>
      <c r="C53" s="9" t="str">
        <f t="shared" si="7"/>
        <v>Biomass</v>
      </c>
      <c r="D53" s="9" t="str">
        <f t="shared" si="11"/>
        <v>BIO</v>
      </c>
      <c r="E53" s="9" t="str">
        <f t="shared" si="11"/>
        <v>SRVBIO</v>
      </c>
      <c r="F53" s="51">
        <f>EB_SRV!G68</f>
        <v>0.4548290238370799</v>
      </c>
      <c r="G53" s="154">
        <f t="shared" si="8"/>
        <v>0.63490443337371294</v>
      </c>
      <c r="H53" s="159">
        <f t="shared" si="8"/>
        <v>20</v>
      </c>
      <c r="I53" s="159">
        <f t="shared" si="8"/>
        <v>1000</v>
      </c>
      <c r="J53" s="16">
        <f t="shared" si="9"/>
        <v>0.2887729636612002</v>
      </c>
      <c r="K53" s="16">
        <f t="shared" si="10"/>
        <v>8.0214712128111168E-2</v>
      </c>
      <c r="L53" s="51"/>
    </row>
    <row r="54" spans="1:12">
      <c r="A54" s="5" t="str">
        <f>Legend!$A$22</f>
        <v>Public Services</v>
      </c>
      <c r="B54" s="107" t="str">
        <f>Legend!$A$24</f>
        <v>Space heating</v>
      </c>
      <c r="C54" s="9" t="str">
        <f t="shared" si="7"/>
        <v>Solar</v>
      </c>
      <c r="D54" s="9" t="str">
        <f t="shared" si="11"/>
        <v>SOL</v>
      </c>
      <c r="E54" s="9" t="str">
        <f t="shared" si="11"/>
        <v>SRVSOL</v>
      </c>
      <c r="F54" s="51">
        <f>EB_SRV!G70</f>
        <v>0</v>
      </c>
      <c r="G54" s="154">
        <f t="shared" si="8"/>
        <v>0.33</v>
      </c>
      <c r="H54" s="159">
        <f t="shared" si="8"/>
        <v>15</v>
      </c>
      <c r="I54" s="159">
        <f t="shared" si="8"/>
        <v>1000</v>
      </c>
      <c r="J54" s="16">
        <f t="shared" si="9"/>
        <v>0</v>
      </c>
      <c r="K54" s="16">
        <f t="shared" si="10"/>
        <v>0</v>
      </c>
      <c r="L54" s="51"/>
    </row>
    <row r="55" spans="1:12">
      <c r="A55" s="5" t="str">
        <f>Legend!$A$22</f>
        <v>Public Services</v>
      </c>
      <c r="B55" s="107" t="str">
        <f>Legend!$A$24</f>
        <v>Space heating</v>
      </c>
      <c r="C55" s="9" t="str">
        <f t="shared" si="7"/>
        <v>Electricity (heat pumps)</v>
      </c>
      <c r="D55" s="9" t="str">
        <f t="shared" si="11"/>
        <v>ELC-HP</v>
      </c>
      <c r="E55" s="9" t="str">
        <f t="shared" si="11"/>
        <v>SRVELC,SRVAHT</v>
      </c>
      <c r="F55" s="51">
        <f>EB_SRV!G71</f>
        <v>0.17911491115489805</v>
      </c>
      <c r="G55" s="154">
        <f t="shared" si="8"/>
        <v>2.1</v>
      </c>
      <c r="H55" s="159">
        <f t="shared" si="8"/>
        <v>10</v>
      </c>
      <c r="I55" s="159">
        <f t="shared" si="8"/>
        <v>1000</v>
      </c>
      <c r="J55" s="16">
        <f t="shared" si="9"/>
        <v>0.37614131342528595</v>
      </c>
      <c r="K55" s="16">
        <f t="shared" si="10"/>
        <v>0.10448369817369053</v>
      </c>
      <c r="L55" s="51">
        <f>EB_SRV!G73</f>
        <v>0</v>
      </c>
    </row>
    <row r="56" spans="1:12">
      <c r="A56" s="10" t="str">
        <f>Legend!$A$22</f>
        <v>Public Services</v>
      </c>
      <c r="B56" s="151" t="str">
        <f>Legend!$A$24</f>
        <v>Space heating</v>
      </c>
      <c r="C56" s="14" t="str">
        <f t="shared" si="7"/>
        <v>Electricity (heaters)</v>
      </c>
      <c r="D56" s="14" t="str">
        <f t="shared" si="11"/>
        <v>ELC</v>
      </c>
      <c r="E56" s="14" t="str">
        <f t="shared" si="11"/>
        <v>SRVELC</v>
      </c>
      <c r="F56" s="153">
        <f>EB_SRV!G72</f>
        <v>0.77423461597278942</v>
      </c>
      <c r="G56" s="155">
        <f t="shared" si="8"/>
        <v>0.81595511259153475</v>
      </c>
      <c r="H56" s="160">
        <f t="shared" si="8"/>
        <v>10</v>
      </c>
      <c r="I56" s="160">
        <f t="shared" si="8"/>
        <v>1000</v>
      </c>
      <c r="J56" s="18">
        <f t="shared" si="9"/>
        <v>0.63174069324834103</v>
      </c>
      <c r="K56" s="18">
        <f t="shared" si="10"/>
        <v>0.17548352590231694</v>
      </c>
      <c r="L56" s="153"/>
    </row>
    <row r="57" spans="1:12">
      <c r="A57" s="252" t="str">
        <f>Legend!$A$22</f>
        <v>Public Services</v>
      </c>
      <c r="B57" s="251" t="str">
        <f>Legend!$A$24</f>
        <v>Space heating</v>
      </c>
      <c r="C57" s="112" t="s">
        <v>391</v>
      </c>
      <c r="D57" s="250"/>
      <c r="E57" s="250"/>
      <c r="F57" s="215">
        <f>SUM(F49:F56)</f>
        <v>7.9269587606910905</v>
      </c>
      <c r="G57" s="269"/>
      <c r="H57" s="253"/>
      <c r="I57" s="253"/>
      <c r="J57" s="249">
        <f>SUM(J49:J56)</f>
        <v>5.9638733840072522</v>
      </c>
      <c r="K57" s="249">
        <f>SUM(K49:K56)</f>
        <v>1.6566314955575701</v>
      </c>
      <c r="L57" s="215"/>
    </row>
    <row r="58" spans="1:12">
      <c r="A58" s="5" t="str">
        <f>Legend!$A$22</f>
        <v>Public Services</v>
      </c>
      <c r="B58" s="107" t="str">
        <f>Legend!$A$25</f>
        <v>Water heating</v>
      </c>
      <c r="C58" s="9" t="str">
        <f t="shared" ref="C58:E64" si="12">C38</f>
        <v>Solids</v>
      </c>
      <c r="D58" s="9" t="str">
        <f t="shared" si="12"/>
        <v>COA</v>
      </c>
      <c r="E58" s="9" t="str">
        <f t="shared" si="12"/>
        <v>SRVCOA</v>
      </c>
      <c r="F58" s="51">
        <f>EB_SRV!G75</f>
        <v>0</v>
      </c>
      <c r="G58" s="154">
        <f t="shared" ref="G58:I64" si="13">G38</f>
        <v>0.33</v>
      </c>
      <c r="H58" s="161">
        <f t="shared" si="13"/>
        <v>20</v>
      </c>
      <c r="I58" s="161">
        <f t="shared" si="13"/>
        <v>200</v>
      </c>
      <c r="J58" s="16">
        <f t="shared" ref="J58:J64" si="14">IF(F58=0,0,F58*G58)</f>
        <v>0</v>
      </c>
      <c r="K58" s="16">
        <f t="shared" ref="K58:K64" si="15">J58/(I58/8760*31.536)</f>
        <v>0</v>
      </c>
      <c r="L58" s="51"/>
    </row>
    <row r="59" spans="1:12" ht="15" customHeight="1">
      <c r="A59" s="5" t="str">
        <f>Legend!$A$22</f>
        <v>Public Services</v>
      </c>
      <c r="B59" s="107" t="str">
        <f>Legend!$A$25</f>
        <v>Water heating</v>
      </c>
      <c r="C59" s="9" t="str">
        <f t="shared" si="12"/>
        <v>LPG</v>
      </c>
      <c r="D59" s="9" t="str">
        <f t="shared" si="12"/>
        <v>LPG</v>
      </c>
      <c r="E59" s="9" t="str">
        <f t="shared" si="12"/>
        <v>SRVLPG</v>
      </c>
      <c r="F59" s="51">
        <f>EB_SRV!G76</f>
        <v>0</v>
      </c>
      <c r="G59" s="154">
        <f t="shared" si="13"/>
        <v>0.33</v>
      </c>
      <c r="H59" s="161">
        <f t="shared" si="13"/>
        <v>20</v>
      </c>
      <c r="I59" s="161">
        <f t="shared" si="13"/>
        <v>200</v>
      </c>
      <c r="J59" s="16">
        <f t="shared" si="14"/>
        <v>0</v>
      </c>
      <c r="K59" s="16">
        <f t="shared" si="15"/>
        <v>0</v>
      </c>
      <c r="L59" s="51"/>
    </row>
    <row r="60" spans="1:12">
      <c r="A60" s="5" t="str">
        <f>Legend!$A$22</f>
        <v>Public Services</v>
      </c>
      <c r="B60" s="107" t="str">
        <f>Legend!$A$25</f>
        <v>Water heating</v>
      </c>
      <c r="C60" s="9" t="str">
        <f t="shared" si="12"/>
        <v>Oil</v>
      </c>
      <c r="D60" s="9" t="str">
        <f t="shared" si="12"/>
        <v>OIL</v>
      </c>
      <c r="E60" s="9" t="str">
        <f t="shared" si="12"/>
        <v>SRVOIL</v>
      </c>
      <c r="F60" s="51">
        <f>EB_SRV!G77</f>
        <v>0.96044609792220836</v>
      </c>
      <c r="G60" s="154">
        <f t="shared" si="13"/>
        <v>0.59834963673469854</v>
      </c>
      <c r="H60" s="161">
        <f t="shared" si="13"/>
        <v>20</v>
      </c>
      <c r="I60" s="161">
        <f t="shared" si="13"/>
        <v>200</v>
      </c>
      <c r="J60" s="16">
        <f t="shared" si="14"/>
        <v>0.57468257379501209</v>
      </c>
      <c r="K60" s="16">
        <f t="shared" si="15"/>
        <v>0.79817024138196124</v>
      </c>
      <c r="L60" s="51"/>
    </row>
    <row r="61" spans="1:12">
      <c r="A61" s="5" t="str">
        <f>Legend!$A$22</f>
        <v>Public Services</v>
      </c>
      <c r="B61" s="107" t="str">
        <f>Legend!$A$25</f>
        <v>Water heating</v>
      </c>
      <c r="C61" s="9" t="str">
        <f t="shared" si="12"/>
        <v>Natural Gas</v>
      </c>
      <c r="D61" s="9" t="str">
        <f t="shared" si="12"/>
        <v>GAS</v>
      </c>
      <c r="E61" s="9" t="str">
        <f t="shared" si="12"/>
        <v>SRVGAS, SRVBGS</v>
      </c>
      <c r="F61" s="51">
        <f>EB_SRV!G78+EB_SRV!G80</f>
        <v>0.9115525721286164</v>
      </c>
      <c r="G61" s="154">
        <f t="shared" si="13"/>
        <v>0.63024757853709534</v>
      </c>
      <c r="H61" s="161">
        <f t="shared" si="13"/>
        <v>20</v>
      </c>
      <c r="I61" s="161">
        <f t="shared" si="13"/>
        <v>200</v>
      </c>
      <c r="J61" s="16">
        <f t="shared" si="14"/>
        <v>0.57450380129332146</v>
      </c>
      <c r="K61" s="16">
        <f t="shared" si="15"/>
        <v>0.79792194624072432</v>
      </c>
      <c r="L61" s="51"/>
    </row>
    <row r="62" spans="1:12">
      <c r="A62" s="5" t="str">
        <f>Legend!$A$22</f>
        <v>Public Services</v>
      </c>
      <c r="B62" s="107" t="str">
        <f>Legend!$A$25</f>
        <v>Water heating</v>
      </c>
      <c r="C62" s="9" t="str">
        <f t="shared" si="12"/>
        <v>Biomass</v>
      </c>
      <c r="D62" s="9" t="str">
        <f t="shared" si="12"/>
        <v>BIO</v>
      </c>
      <c r="E62" s="9" t="str">
        <f t="shared" si="12"/>
        <v>SRVBIO</v>
      </c>
      <c r="F62" s="51">
        <f>EB_SRV!G79</f>
        <v>0</v>
      </c>
      <c r="G62" s="154">
        <f t="shared" si="13"/>
        <v>0.33</v>
      </c>
      <c r="H62" s="161">
        <f t="shared" si="13"/>
        <v>20</v>
      </c>
      <c r="I62" s="161">
        <f t="shared" si="13"/>
        <v>200</v>
      </c>
      <c r="J62" s="16">
        <f t="shared" si="14"/>
        <v>0</v>
      </c>
      <c r="K62" s="16">
        <f t="shared" si="15"/>
        <v>0</v>
      </c>
      <c r="L62" s="51"/>
    </row>
    <row r="63" spans="1:12">
      <c r="A63" s="5" t="str">
        <f>Legend!$A$22</f>
        <v>Public Services</v>
      </c>
      <c r="B63" s="107" t="str">
        <f>Legend!$A$25</f>
        <v>Water heating</v>
      </c>
      <c r="C63" s="9" t="str">
        <f t="shared" si="12"/>
        <v>Electricity</v>
      </c>
      <c r="D63" s="9" t="str">
        <f t="shared" si="12"/>
        <v>ELC</v>
      </c>
      <c r="E63" s="9" t="str">
        <f t="shared" si="12"/>
        <v>SRVELC</v>
      </c>
      <c r="F63" s="51">
        <f>EB_SRV!G81</f>
        <v>0.43923974524761861</v>
      </c>
      <c r="G63" s="154">
        <f t="shared" si="13"/>
        <v>0.7791533881609447</v>
      </c>
      <c r="H63" s="161">
        <f t="shared" si="13"/>
        <v>10</v>
      </c>
      <c r="I63" s="161">
        <f t="shared" si="13"/>
        <v>200</v>
      </c>
      <c r="J63" s="16">
        <f t="shared" si="14"/>
        <v>0.34223513572463227</v>
      </c>
      <c r="K63" s="16">
        <f t="shared" si="15"/>
        <v>0.47532657739532264</v>
      </c>
      <c r="L63" s="51"/>
    </row>
    <row r="64" spans="1:12">
      <c r="A64" s="10" t="str">
        <f>Legend!$A$22</f>
        <v>Public Services</v>
      </c>
      <c r="B64" s="151" t="str">
        <f>Legend!$A$25</f>
        <v>Water heating</v>
      </c>
      <c r="C64" s="14" t="str">
        <f t="shared" si="12"/>
        <v>Solar</v>
      </c>
      <c r="D64" s="14" t="str">
        <f t="shared" si="12"/>
        <v>SOL</v>
      </c>
      <c r="E64" s="14" t="str">
        <f t="shared" si="12"/>
        <v>SRVSOL</v>
      </c>
      <c r="F64" s="153">
        <f>EB_SRV!G82</f>
        <v>0</v>
      </c>
      <c r="G64" s="155">
        <f t="shared" si="13"/>
        <v>0.99999999999999989</v>
      </c>
      <c r="H64" s="162">
        <f t="shared" si="13"/>
        <v>15</v>
      </c>
      <c r="I64" s="162">
        <f t="shared" si="13"/>
        <v>200</v>
      </c>
      <c r="J64" s="18">
        <f t="shared" si="14"/>
        <v>0</v>
      </c>
      <c r="K64" s="18">
        <f t="shared" si="15"/>
        <v>0</v>
      </c>
      <c r="L64" s="153"/>
    </row>
    <row r="65" spans="1:12">
      <c r="A65" s="252" t="str">
        <f>Legend!$A$22</f>
        <v>Public Services</v>
      </c>
      <c r="B65" s="251" t="str">
        <f>Legend!$A$25</f>
        <v>Water heating</v>
      </c>
      <c r="C65" s="112" t="s">
        <v>391</v>
      </c>
      <c r="D65" s="250"/>
      <c r="E65" s="250"/>
      <c r="F65" s="215">
        <f>SUM(F58:F64)</f>
        <v>2.3112384152984431</v>
      </c>
      <c r="G65" s="269"/>
      <c r="H65" s="253"/>
      <c r="I65" s="253"/>
      <c r="J65" s="215">
        <f t="shared" ref="J65" si="16">SUM(J58:J64)</f>
        <v>1.4914215108129658</v>
      </c>
      <c r="K65" s="249">
        <f t="shared" ref="K65" si="17">SUM(K58:K64)</f>
        <v>2.071418765018008</v>
      </c>
      <c r="L65" s="215"/>
    </row>
    <row r="66" spans="1:12">
      <c r="A66" s="5" t="str">
        <f>Legend!$A$22</f>
        <v>Public Services</v>
      </c>
      <c r="B66" s="107" t="str">
        <f>Legend!$A$26</f>
        <v>Space cooling</v>
      </c>
      <c r="C66" s="9" t="str">
        <f>Legend!A39</f>
        <v>Natural Gas</v>
      </c>
      <c r="D66" s="9" t="str">
        <f>Legend!B39</f>
        <v>GAS</v>
      </c>
      <c r="E66" s="9" t="str">
        <f>Legend!$C$39</f>
        <v>SRVGAS</v>
      </c>
      <c r="F66" s="51">
        <f>EB_SRV!G84</f>
        <v>2.9697517423111805E-3</v>
      </c>
      <c r="G66" s="154">
        <f t="shared" ref="G66:I67" si="18">G46</f>
        <v>2.7679848891515557</v>
      </c>
      <c r="H66" s="161">
        <f t="shared" si="18"/>
        <v>15</v>
      </c>
      <c r="I66" s="161">
        <f t="shared" si="18"/>
        <v>300</v>
      </c>
      <c r="J66" s="16">
        <f>IF(F66=0,0,F66*G66)</f>
        <v>8.2202279472488524E-3</v>
      </c>
      <c r="K66" s="16">
        <f>J66/(I66/8760*31.536)</f>
        <v>7.6113221733785661E-3</v>
      </c>
      <c r="L66" s="51"/>
    </row>
    <row r="67" spans="1:12">
      <c r="A67" s="10" t="str">
        <f>Legend!$A$22</f>
        <v>Public Services</v>
      </c>
      <c r="B67" s="151" t="str">
        <f>Legend!$A$26</f>
        <v>Space cooling</v>
      </c>
      <c r="C67" s="14" t="str">
        <f>Legend!A43</f>
        <v>Electricity</v>
      </c>
      <c r="D67" s="14" t="str">
        <f>Legend!B43</f>
        <v>ELC</v>
      </c>
      <c r="E67" s="14" t="str">
        <f>Legend!C43</f>
        <v>SRVELC</v>
      </c>
      <c r="F67" s="153">
        <f>EB_SRV!G85</f>
        <v>0.38529175950573236</v>
      </c>
      <c r="G67" s="155">
        <f t="shared" si="18"/>
        <v>2.7466471585410193</v>
      </c>
      <c r="H67" s="162">
        <f t="shared" si="18"/>
        <v>15</v>
      </c>
      <c r="I67" s="254">
        <f t="shared" si="18"/>
        <v>300</v>
      </c>
      <c r="J67" s="18">
        <f>IF(F67=0,0,F67*G67)</f>
        <v>1.0582605164556895</v>
      </c>
      <c r="K67" s="18">
        <f>J67/(I67/8760*31.536)</f>
        <v>0.97987084857008278</v>
      </c>
      <c r="L67" s="153"/>
    </row>
    <row r="68" spans="1:12">
      <c r="A68" s="252" t="str">
        <f>Legend!$A$22</f>
        <v>Public Services</v>
      </c>
      <c r="B68" s="251" t="str">
        <f>Legend!$A$26</f>
        <v>Space cooling</v>
      </c>
      <c r="C68" s="112" t="s">
        <v>391</v>
      </c>
      <c r="D68" s="250"/>
      <c r="E68" s="250"/>
      <c r="F68" s="215">
        <f>SUM(F66:F67)</f>
        <v>0.38826151124804353</v>
      </c>
      <c r="G68" s="269"/>
      <c r="H68" s="253"/>
      <c r="I68" s="253"/>
      <c r="J68" s="215">
        <f t="shared" ref="J68" si="19">SUM(J66:J67)</f>
        <v>1.0664807444029383</v>
      </c>
      <c r="K68" s="249">
        <f t="shared" ref="K68" si="20">SUM(K66:K67)</f>
        <v>0.98748217074346134</v>
      </c>
      <c r="L68" s="215"/>
    </row>
    <row r="69" spans="1:12">
      <c r="C69" s="163"/>
      <c r="E69" s="163" t="s">
        <v>145</v>
      </c>
      <c r="F69" s="75">
        <f>SUM(F37,F45,F48,F57,F65,F68)</f>
        <v>26.856872110851544</v>
      </c>
      <c r="G69" s="15"/>
      <c r="H69" s="15"/>
      <c r="I69" s="15"/>
      <c r="J69" s="75">
        <f t="shared" ref="J69:K69" si="21">SUM(J37,J45,J48,J57,J65,J68)</f>
        <v>24.045106139982156</v>
      </c>
      <c r="K69" s="75">
        <f t="shared" si="21"/>
        <v>14.285136114914282</v>
      </c>
    </row>
    <row r="71" spans="1:12">
      <c r="A71" s="67" t="s">
        <v>406</v>
      </c>
    </row>
    <row r="72" spans="1:12" ht="44" thickBot="1">
      <c r="A72" s="12" t="s">
        <v>378</v>
      </c>
      <c r="B72" s="12" t="s">
        <v>160</v>
      </c>
      <c r="C72" s="12" t="s">
        <v>81</v>
      </c>
      <c r="D72" s="12" t="s">
        <v>172</v>
      </c>
      <c r="E72" s="12" t="s">
        <v>173</v>
      </c>
      <c r="F72" s="13" t="s">
        <v>402</v>
      </c>
      <c r="G72" s="12" t="s">
        <v>129</v>
      </c>
      <c r="H72" s="156" t="s">
        <v>403</v>
      </c>
      <c r="I72" s="156" t="s">
        <v>144</v>
      </c>
      <c r="J72" s="156" t="s">
        <v>405</v>
      </c>
      <c r="K72" s="156" t="s">
        <v>174</v>
      </c>
      <c r="L72" s="12" t="s">
        <v>111</v>
      </c>
    </row>
    <row r="73" spans="1:12" ht="29.5" thickBot="1">
      <c r="A73" s="222" t="s">
        <v>477</v>
      </c>
      <c r="B73" s="223"/>
      <c r="C73" s="223"/>
      <c r="D73" s="223"/>
      <c r="E73" s="223"/>
      <c r="F73" s="225"/>
      <c r="G73" s="224" t="s">
        <v>180</v>
      </c>
      <c r="H73" s="224" t="s">
        <v>404</v>
      </c>
      <c r="I73" s="224" t="s">
        <v>404</v>
      </c>
      <c r="J73" s="224" t="s">
        <v>404</v>
      </c>
      <c r="K73" s="226"/>
      <c r="L73" s="223"/>
    </row>
    <row r="74" spans="1:12">
      <c r="A74" s="68"/>
      <c r="B74" s="68"/>
      <c r="C74" s="68"/>
      <c r="D74" s="68"/>
      <c r="E74" s="68"/>
      <c r="F74" s="152" t="s">
        <v>46</v>
      </c>
      <c r="G74" s="17" t="s">
        <v>132</v>
      </c>
      <c r="H74" s="152" t="s">
        <v>96</v>
      </c>
      <c r="I74" s="152" t="s">
        <v>70</v>
      </c>
      <c r="J74" s="152" t="s">
        <v>175</v>
      </c>
      <c r="K74" s="17" t="s">
        <v>46</v>
      </c>
      <c r="L74" s="17" t="s">
        <v>407</v>
      </c>
    </row>
    <row r="75" spans="1:12">
      <c r="A75" s="9" t="str">
        <f>Legend!$A$21</f>
        <v>Commercial Services</v>
      </c>
      <c r="B75" s="27" t="str">
        <f>Legend!$A$28</f>
        <v>Cooking</v>
      </c>
      <c r="C75" s="9" t="str">
        <f>Legend!$A$37</f>
        <v>LPG</v>
      </c>
      <c r="D75" s="9" t="str">
        <f>Legend!$B$37</f>
        <v>LPG</v>
      </c>
      <c r="E75" s="9" t="str">
        <f>Legend!$C$37</f>
        <v>SRVLPG</v>
      </c>
      <c r="F75" s="51">
        <f>EB_SRV!G48</f>
        <v>1.8620770476370319</v>
      </c>
      <c r="G75" s="154">
        <v>0.48571820894923945</v>
      </c>
      <c r="H75" s="157">
        <v>15</v>
      </c>
      <c r="I75" s="157">
        <v>800</v>
      </c>
      <c r="J75" s="157">
        <v>15</v>
      </c>
      <c r="K75" s="16">
        <f t="shared" ref="K75:K83" si="22">IF(F75=0,0,F75*G75)</f>
        <v>0.90444472850374669</v>
      </c>
      <c r="L75" s="16">
        <f>K75/(I75/8760*31.536)/(J75/1000)</f>
        <v>20.936220567216363</v>
      </c>
    </row>
    <row r="76" spans="1:12">
      <c r="A76" s="9" t="str">
        <f>Legend!$A$21</f>
        <v>Commercial Services</v>
      </c>
      <c r="B76" s="27" t="str">
        <f>Legend!$A$28</f>
        <v>Cooking</v>
      </c>
      <c r="C76" s="9" t="str">
        <f>Legend!$A$39</f>
        <v>Natural Gas</v>
      </c>
      <c r="D76" s="9" t="str">
        <f>Legend!$B$39</f>
        <v>GAS</v>
      </c>
      <c r="E76" s="9" t="str">
        <f>Legend!$C$39</f>
        <v>SRVGAS</v>
      </c>
      <c r="F76" s="51">
        <f>EB_SRV!G49</f>
        <v>2.2594204541021528</v>
      </c>
      <c r="G76" s="154">
        <v>0.5299882794392895</v>
      </c>
      <c r="H76" s="157">
        <v>15</v>
      </c>
      <c r="I76" s="157">
        <v>800</v>
      </c>
      <c r="J76" s="157">
        <v>15</v>
      </c>
      <c r="K76" s="51">
        <f t="shared" si="22"/>
        <v>1.197466358999538</v>
      </c>
      <c r="L76" s="51">
        <f t="shared" ref="L76:L83" si="23">K76/(I76/8760*31.536)/(J76/1000)</f>
        <v>27.719128680544863</v>
      </c>
    </row>
    <row r="77" spans="1:12">
      <c r="A77" s="9" t="str">
        <f>Legend!$A$21</f>
        <v>Commercial Services</v>
      </c>
      <c r="B77" s="27" t="str">
        <f>Legend!$A$28</f>
        <v>Cooking</v>
      </c>
      <c r="C77" s="9" t="str">
        <f>Legend!$A$40</f>
        <v>Biomass</v>
      </c>
      <c r="D77" s="9" t="str">
        <f>Legend!$B$40</f>
        <v>BIO</v>
      </c>
      <c r="E77" s="9" t="str">
        <f>Legend!$C$40</f>
        <v>SRVBIO</v>
      </c>
      <c r="F77" s="51">
        <f>EB_SRV!G50</f>
        <v>0</v>
      </c>
      <c r="G77" s="154">
        <v>0.33</v>
      </c>
      <c r="H77" s="157">
        <v>15</v>
      </c>
      <c r="I77" s="157">
        <v>800</v>
      </c>
      <c r="J77" s="157">
        <v>15</v>
      </c>
      <c r="K77" s="51">
        <f t="shared" si="22"/>
        <v>0</v>
      </c>
      <c r="L77" s="51">
        <f t="shared" si="23"/>
        <v>0</v>
      </c>
    </row>
    <row r="78" spans="1:12">
      <c r="A78" s="14" t="str">
        <f>Legend!$A$21</f>
        <v>Commercial Services</v>
      </c>
      <c r="B78" s="34" t="str">
        <f>Legend!$A$28</f>
        <v>Cooking</v>
      </c>
      <c r="C78" s="14" t="str">
        <f>Legend!$A$43</f>
        <v>Electricity</v>
      </c>
      <c r="D78" s="14" t="str">
        <f>Legend!$B$43</f>
        <v>ELC</v>
      </c>
      <c r="E78" s="14" t="str">
        <f>Legend!$C$43</f>
        <v>SRVELC</v>
      </c>
      <c r="F78" s="153">
        <f>EB_SRV!G51</f>
        <v>2.9228774345991724</v>
      </c>
      <c r="G78" s="155">
        <v>0.67758189334652785</v>
      </c>
      <c r="H78" s="164">
        <v>15</v>
      </c>
      <c r="I78" s="164">
        <v>800</v>
      </c>
      <c r="J78" s="164">
        <v>15</v>
      </c>
      <c r="K78" s="153">
        <f t="shared" si="22"/>
        <v>1.9804888261555493</v>
      </c>
      <c r="L78" s="153">
        <f t="shared" si="23"/>
        <v>45.84464875360068</v>
      </c>
    </row>
    <row r="79" spans="1:12">
      <c r="A79" s="220" t="str">
        <f>Legend!$A$21</f>
        <v>Commercial Services</v>
      </c>
      <c r="B79" s="273" t="str">
        <f>Legend!$A$28</f>
        <v>Cooking</v>
      </c>
      <c r="C79" s="112" t="s">
        <v>391</v>
      </c>
      <c r="D79" s="212"/>
      <c r="E79" s="212"/>
      <c r="F79" s="215">
        <f>SUM(F75:F78)</f>
        <v>7.0443749363383574</v>
      </c>
      <c r="G79" s="269"/>
      <c r="H79" s="275"/>
      <c r="I79" s="275"/>
      <c r="J79" s="275"/>
      <c r="K79" s="215">
        <f t="shared" ref="K79:L79" si="24">SUM(K75:K78)</f>
        <v>4.0823999136588345</v>
      </c>
      <c r="L79" s="215">
        <f t="shared" si="24"/>
        <v>94.499998001361902</v>
      </c>
    </row>
    <row r="80" spans="1:12">
      <c r="A80" s="9" t="str">
        <f>Legend!$A$22</f>
        <v>Public Services</v>
      </c>
      <c r="B80" s="27" t="str">
        <f>Legend!$A$28</f>
        <v>Cooking</v>
      </c>
      <c r="C80" s="5" t="str">
        <f>Legend!$A$37</f>
        <v>LPG</v>
      </c>
      <c r="D80" s="5" t="str">
        <f>Legend!$B$37</f>
        <v>LPG</v>
      </c>
      <c r="E80" s="5" t="str">
        <f>Legend!$C$37</f>
        <v>SRVLPG</v>
      </c>
      <c r="F80" s="51">
        <f>EB_SRV!G87</f>
        <v>0.92214284366930133</v>
      </c>
      <c r="G80" s="154">
        <f t="shared" ref="G80:H83" si="25">G75</f>
        <v>0.48571820894923945</v>
      </c>
      <c r="H80" s="157">
        <f t="shared" si="25"/>
        <v>15</v>
      </c>
      <c r="I80" s="157">
        <f t="shared" ref="I80" si="26">I75</f>
        <v>800</v>
      </c>
      <c r="J80" s="157">
        <f t="shared" ref="J80" si="27">J75</f>
        <v>15</v>
      </c>
      <c r="K80" s="51">
        <f t="shared" si="22"/>
        <v>0.44790157042241158</v>
      </c>
      <c r="L80" s="51">
        <f t="shared" si="23"/>
        <v>10.368091907926196</v>
      </c>
    </row>
    <row r="81" spans="1:12">
      <c r="A81" s="9" t="str">
        <f>Legend!$A$22</f>
        <v>Public Services</v>
      </c>
      <c r="B81" s="27" t="str">
        <f>Legend!$A$28</f>
        <v>Cooking</v>
      </c>
      <c r="C81" s="5" t="str">
        <f>Legend!$A$39</f>
        <v>Natural Gas</v>
      </c>
      <c r="D81" s="5" t="str">
        <f>Legend!$B$39</f>
        <v>GAS</v>
      </c>
      <c r="E81" s="5" t="str">
        <f>Legend!$C$39</f>
        <v>SRVGAS</v>
      </c>
      <c r="F81" s="51">
        <f>EB_SRV!G88</f>
        <v>1.3186311234207986</v>
      </c>
      <c r="G81" s="154">
        <f t="shared" si="25"/>
        <v>0.5299882794392895</v>
      </c>
      <c r="H81" s="157">
        <f t="shared" si="25"/>
        <v>15</v>
      </c>
      <c r="I81" s="157">
        <f>I76</f>
        <v>800</v>
      </c>
      <c r="J81" s="157">
        <f t="shared" ref="J81" si="28">J76</f>
        <v>15</v>
      </c>
      <c r="K81" s="51">
        <f t="shared" si="22"/>
        <v>0.69885904031688639</v>
      </c>
      <c r="L81" s="51">
        <f t="shared" si="23"/>
        <v>16.177292599927927</v>
      </c>
    </row>
    <row r="82" spans="1:12">
      <c r="A82" s="9" t="str">
        <f>Legend!$A$22</f>
        <v>Public Services</v>
      </c>
      <c r="B82" s="27" t="str">
        <f>Legend!$A$28</f>
        <v>Cooking</v>
      </c>
      <c r="C82" s="5" t="str">
        <f>Legend!$A$40</f>
        <v>Biomass</v>
      </c>
      <c r="D82" s="5" t="str">
        <f>Legend!$B$40</f>
        <v>BIO</v>
      </c>
      <c r="E82" s="5" t="str">
        <f>Legend!$C$40</f>
        <v>SRVBIO</v>
      </c>
      <c r="F82" s="51">
        <f>EB_SRV!G89</f>
        <v>0</v>
      </c>
      <c r="G82" s="154">
        <f t="shared" si="25"/>
        <v>0.33</v>
      </c>
      <c r="H82" s="157">
        <f t="shared" si="25"/>
        <v>15</v>
      </c>
      <c r="I82" s="157">
        <f>I77</f>
        <v>800</v>
      </c>
      <c r="J82" s="157">
        <f t="shared" ref="J82" si="29">J77</f>
        <v>15</v>
      </c>
      <c r="K82" s="51">
        <f t="shared" si="22"/>
        <v>0</v>
      </c>
      <c r="L82" s="51">
        <f t="shared" si="23"/>
        <v>0</v>
      </c>
    </row>
    <row r="83" spans="1:12">
      <c r="A83" s="14" t="str">
        <f>Legend!$A$22</f>
        <v>Public Services</v>
      </c>
      <c r="B83" s="34" t="str">
        <f>Legend!$A$28</f>
        <v>Cooking</v>
      </c>
      <c r="C83" s="10" t="str">
        <f>Legend!$A$43</f>
        <v>Electricity</v>
      </c>
      <c r="D83" s="10" t="str">
        <f>Legend!$B$43</f>
        <v>ELC</v>
      </c>
      <c r="E83" s="10" t="str">
        <f>Legend!$C$43</f>
        <v>SRVELC</v>
      </c>
      <c r="F83" s="153">
        <f>EB_SRV!G90</f>
        <v>0.83860716404759184</v>
      </c>
      <c r="G83" s="155">
        <f t="shared" si="25"/>
        <v>0.67758189334652785</v>
      </c>
      <c r="H83" s="164">
        <f t="shared" si="25"/>
        <v>15</v>
      </c>
      <c r="I83" s="164">
        <f>I78</f>
        <v>800</v>
      </c>
      <c r="J83" s="164">
        <f t="shared" ref="J83" si="30">J78</f>
        <v>15</v>
      </c>
      <c r="K83" s="153">
        <f t="shared" si="22"/>
        <v>0.56822502998932956</v>
      </c>
      <c r="L83" s="153">
        <f t="shared" si="23"/>
        <v>13.153357175678927</v>
      </c>
    </row>
    <row r="84" spans="1:12">
      <c r="A84" s="276" t="str">
        <f>Legend!$A$22</f>
        <v>Public Services</v>
      </c>
      <c r="B84" s="277" t="str">
        <f>Legend!$A$28</f>
        <v>Cooking</v>
      </c>
      <c r="C84" s="112" t="s">
        <v>391</v>
      </c>
      <c r="D84" s="250"/>
      <c r="E84" s="250"/>
      <c r="F84" s="215">
        <f>SUM(F80:F83)</f>
        <v>3.0793811311376915</v>
      </c>
      <c r="G84" s="269"/>
      <c r="H84" s="275"/>
      <c r="I84" s="275"/>
      <c r="J84" s="275"/>
      <c r="K84" s="215">
        <f t="shared" ref="K84" si="31">SUM(K80:K83)</f>
        <v>1.7149856407286275</v>
      </c>
      <c r="L84" s="215">
        <f t="shared" ref="L84" si="32">SUM(L80:L83)</f>
        <v>39.698741683533051</v>
      </c>
    </row>
    <row r="85" spans="1:12">
      <c r="E85" s="163" t="s">
        <v>145</v>
      </c>
      <c r="F85" s="75">
        <f>F79+F84</f>
        <v>10.123756067476048</v>
      </c>
      <c r="K85" s="75">
        <f>K79+K84</f>
        <v>5.7973855543874624</v>
      </c>
      <c r="L85" s="75">
        <f>L79+L84</f>
        <v>134.19873968489495</v>
      </c>
    </row>
    <row r="87" spans="1:12">
      <c r="A87" s="67" t="s">
        <v>408</v>
      </c>
    </row>
    <row r="88" spans="1:12" ht="29.5" thickBot="1">
      <c r="A88" s="12" t="s">
        <v>378</v>
      </c>
      <c r="B88" s="12" t="s">
        <v>160</v>
      </c>
      <c r="C88" s="12" t="s">
        <v>81</v>
      </c>
      <c r="D88" s="12" t="s">
        <v>172</v>
      </c>
      <c r="E88" s="12" t="s">
        <v>173</v>
      </c>
      <c r="F88" s="13" t="s">
        <v>402</v>
      </c>
      <c r="G88" s="12" t="s">
        <v>129</v>
      </c>
      <c r="H88" s="156" t="s">
        <v>403</v>
      </c>
      <c r="I88" s="12" t="s">
        <v>174</v>
      </c>
      <c r="J88" s="12" t="s">
        <v>111</v>
      </c>
    </row>
    <row r="89" spans="1:12" ht="29.5" thickBot="1">
      <c r="A89" s="222" t="s">
        <v>477</v>
      </c>
      <c r="B89" s="223"/>
      <c r="C89" s="223"/>
      <c r="D89" s="223"/>
      <c r="E89" s="223"/>
      <c r="F89" s="225"/>
      <c r="H89" s="227" t="s">
        <v>404</v>
      </c>
      <c r="I89" s="222"/>
      <c r="J89" s="222" t="s">
        <v>180</v>
      </c>
    </row>
    <row r="90" spans="1:12">
      <c r="A90" s="68"/>
      <c r="B90" s="68"/>
      <c r="C90" s="68"/>
      <c r="D90" s="68"/>
      <c r="E90" s="68"/>
      <c r="F90" s="152" t="s">
        <v>46</v>
      </c>
      <c r="G90" s="17" t="s">
        <v>508</v>
      </c>
      <c r="H90" s="152" t="s">
        <v>96</v>
      </c>
      <c r="I90" s="17" t="s">
        <v>509</v>
      </c>
      <c r="J90" s="17" t="s">
        <v>509</v>
      </c>
    </row>
    <row r="91" spans="1:12" ht="21.75" customHeight="1">
      <c r="A91" s="9" t="str">
        <f>Legend!$A$21</f>
        <v>Commercial Services</v>
      </c>
      <c r="B91" s="9" t="str">
        <f>Legend!$A$29</f>
        <v>Building lighting</v>
      </c>
      <c r="C91" s="9" t="str">
        <f>Legend!$A$43</f>
        <v>Electricity</v>
      </c>
      <c r="D91" s="9" t="str">
        <f>Legend!$B$43</f>
        <v>ELC</v>
      </c>
      <c r="E91" s="9" t="str">
        <f>Legend!$C$43</f>
        <v>SRVELC</v>
      </c>
      <c r="F91" s="51">
        <f>EB_SRV!G53</f>
        <v>7.593103142775365</v>
      </c>
      <c r="G91" s="16">
        <f>I91/F91</f>
        <v>2.4973571887487438</v>
      </c>
      <c r="H91" s="157">
        <v>10</v>
      </c>
      <c r="I91" s="16">
        <f>J91</f>
        <v>18.962690718520737</v>
      </c>
      <c r="J91" s="158">
        <v>18.962690718520737</v>
      </c>
    </row>
    <row r="92" spans="1:12" ht="21.75" customHeight="1">
      <c r="A92" s="9" t="str">
        <f>Legend!$A$21</f>
        <v>Commercial Services</v>
      </c>
      <c r="B92" s="9" t="str">
        <f>Legend!$A$30</f>
        <v>Refrigeration</v>
      </c>
      <c r="C92" s="9" t="str">
        <f>Legend!$A$43</f>
        <v>Electricity</v>
      </c>
      <c r="D92" s="9" t="str">
        <f>Legend!$B$43</f>
        <v>ELC</v>
      </c>
      <c r="E92" s="9" t="str">
        <f>Legend!$C$43</f>
        <v>SRVELC</v>
      </c>
      <c r="F92" s="51">
        <f>EB_SRV!G54</f>
        <v>2.9437445447888688</v>
      </c>
      <c r="G92" s="16">
        <f>I92/F92</f>
        <v>33.49155366492981</v>
      </c>
      <c r="H92" s="157">
        <v>10</v>
      </c>
      <c r="I92" s="16">
        <f t="shared" ref="I92:I95" si="33">J92</f>
        <v>98.590578397640783</v>
      </c>
      <c r="J92" s="158">
        <v>98.590578397640783</v>
      </c>
    </row>
    <row r="93" spans="1:12" ht="21.75" customHeight="1">
      <c r="A93" s="14" t="str">
        <f>Legend!$A$21</f>
        <v>Commercial Services</v>
      </c>
      <c r="B93" s="14" t="str">
        <f>Legend!$A$31</f>
        <v>Other appliances</v>
      </c>
      <c r="C93" s="14" t="str">
        <f>Legend!$A$43</f>
        <v>Electricity</v>
      </c>
      <c r="D93" s="14" t="str">
        <f>Legend!$B$43</f>
        <v>ELC</v>
      </c>
      <c r="E93" s="14" t="str">
        <f>Legend!$C$43</f>
        <v>SRVELC</v>
      </c>
      <c r="F93" s="153">
        <f>EB_SRV!G55</f>
        <v>10.101218380000033</v>
      </c>
      <c r="G93" s="18">
        <f t="shared" ref="G93:G96" si="34">I93/F93</f>
        <v>1</v>
      </c>
      <c r="H93" s="164">
        <v>10</v>
      </c>
      <c r="I93" s="18">
        <f>F93</f>
        <v>10.101218380000033</v>
      </c>
      <c r="J93" s="18">
        <f>I93/31.536</f>
        <v>0.32030753361238051</v>
      </c>
    </row>
    <row r="94" spans="1:12">
      <c r="A94" s="9" t="str">
        <f>Legend!$A$22</f>
        <v>Public Services</v>
      </c>
      <c r="B94" s="9" t="str">
        <f>Legend!$A$29</f>
        <v>Building lighting</v>
      </c>
      <c r="C94" s="9" t="str">
        <f>Legend!$A$43</f>
        <v>Electricity</v>
      </c>
      <c r="D94" s="9" t="str">
        <f>Legend!$B$43</f>
        <v>ELC</v>
      </c>
      <c r="E94" s="9" t="str">
        <f>Legend!$C$43</f>
        <v>SRVELC</v>
      </c>
      <c r="F94" s="51">
        <f>EB_SRV!G92</f>
        <v>2.1785486512392636</v>
      </c>
      <c r="G94" s="16">
        <f t="shared" si="34"/>
        <v>4.326077744827904</v>
      </c>
      <c r="H94" s="157">
        <f>H91</f>
        <v>10</v>
      </c>
      <c r="I94" s="16">
        <f t="shared" si="33"/>
        <v>9.424570836151025</v>
      </c>
      <c r="J94" s="158">
        <v>9.424570836151025</v>
      </c>
    </row>
    <row r="95" spans="1:12">
      <c r="A95" s="9" t="str">
        <f>Legend!$A$22</f>
        <v>Public Services</v>
      </c>
      <c r="B95" s="9" t="str">
        <f>Legend!$A$30</f>
        <v>Refrigeration</v>
      </c>
      <c r="C95" s="9" t="str">
        <f>Legend!$A$43</f>
        <v>Electricity</v>
      </c>
      <c r="D95" s="9" t="str">
        <f>Legend!$B$43</f>
        <v>ELC</v>
      </c>
      <c r="E95" s="9" t="str">
        <f>Legend!$C$43</f>
        <v>SRVELC</v>
      </c>
      <c r="F95" s="51">
        <f>EB_SRV!G93</f>
        <v>0.84459417803966141</v>
      </c>
      <c r="G95" s="16">
        <f t="shared" si="34"/>
        <v>58.016156280053544</v>
      </c>
      <c r="H95" s="157">
        <f>H92</f>
        <v>10</v>
      </c>
      <c r="I95" s="16">
        <f t="shared" si="33"/>
        <v>49.000107826372364</v>
      </c>
      <c r="J95" s="158">
        <v>49.000107826372364</v>
      </c>
    </row>
    <row r="96" spans="1:12">
      <c r="A96" s="14" t="str">
        <f>Legend!$A$22</f>
        <v>Public Services</v>
      </c>
      <c r="B96" s="14" t="str">
        <f>Legend!$A$31</f>
        <v>Other appliances</v>
      </c>
      <c r="C96" s="14" t="str">
        <f>Legend!$A$43</f>
        <v>Electricity</v>
      </c>
      <c r="D96" s="14" t="str">
        <f>Legend!$B$43</f>
        <v>ELC</v>
      </c>
      <c r="E96" s="14" t="str">
        <f>Legend!$C$43</f>
        <v>SRVELC</v>
      </c>
      <c r="F96" s="153">
        <f>EB_SRV!G94</f>
        <v>2.8981557689704829</v>
      </c>
      <c r="G96" s="18">
        <f t="shared" si="34"/>
        <v>1</v>
      </c>
      <c r="H96" s="164">
        <f>H93</f>
        <v>10</v>
      </c>
      <c r="I96" s="18">
        <f>F96</f>
        <v>2.8981557689704829</v>
      </c>
      <c r="J96" s="18">
        <f>I96/31.536</f>
        <v>9.18999165706013E-2</v>
      </c>
    </row>
    <row r="97" spans="1:14">
      <c r="A97" s="15"/>
      <c r="E97" s="163" t="s">
        <v>145</v>
      </c>
      <c r="F97" s="75">
        <f>SUM(F91:F96)</f>
        <v>26.559364665813675</v>
      </c>
      <c r="I97" s="75">
        <f>SUM(I91:I96)</f>
        <v>188.9773219276554</v>
      </c>
      <c r="J97" s="75">
        <f>SUM(J91:J96)</f>
        <v>176.39015522886788</v>
      </c>
    </row>
    <row r="98" spans="1:14">
      <c r="A98" s="15"/>
      <c r="F98" s="71"/>
      <c r="G98" s="16"/>
      <c r="H98" s="16"/>
      <c r="I98" s="16"/>
    </row>
    <row r="99" spans="1:14">
      <c r="A99" s="67" t="s">
        <v>505</v>
      </c>
      <c r="F99" s="71"/>
      <c r="K99" s="16"/>
    </row>
    <row r="100" spans="1:14" ht="44" thickBot="1">
      <c r="A100" s="12" t="s">
        <v>378</v>
      </c>
      <c r="B100" s="12" t="s">
        <v>160</v>
      </c>
      <c r="C100" s="12" t="s">
        <v>162</v>
      </c>
      <c r="D100" s="12" t="s">
        <v>172</v>
      </c>
      <c r="E100" s="12" t="s">
        <v>173</v>
      </c>
      <c r="F100" s="13" t="s">
        <v>402</v>
      </c>
      <c r="G100" s="12" t="s">
        <v>111</v>
      </c>
      <c r="H100" s="13" t="s">
        <v>169</v>
      </c>
      <c r="I100" s="13" t="s">
        <v>177</v>
      </c>
      <c r="J100" s="13" t="s">
        <v>144</v>
      </c>
      <c r="K100" s="156" t="s">
        <v>403</v>
      </c>
      <c r="L100" s="13" t="s">
        <v>178</v>
      </c>
      <c r="M100" s="13" t="s">
        <v>479</v>
      </c>
      <c r="N100" s="13" t="s">
        <v>480</v>
      </c>
    </row>
    <row r="101" spans="1:14" ht="29.5" thickBot="1">
      <c r="A101" s="222" t="s">
        <v>477</v>
      </c>
      <c r="B101" s="223"/>
      <c r="C101" s="223"/>
      <c r="D101" s="223"/>
      <c r="E101" s="223"/>
      <c r="F101" s="224" t="s">
        <v>475</v>
      </c>
      <c r="G101" s="224" t="s">
        <v>581</v>
      </c>
      <c r="H101" s="224" t="s">
        <v>404</v>
      </c>
      <c r="I101" s="224" t="s">
        <v>404</v>
      </c>
      <c r="J101" s="224" t="s">
        <v>404</v>
      </c>
      <c r="K101" s="224" t="s">
        <v>404</v>
      </c>
      <c r="L101" s="168"/>
      <c r="N101" s="27"/>
    </row>
    <row r="102" spans="1:14">
      <c r="A102" s="68"/>
      <c r="B102" s="68"/>
      <c r="C102" s="68"/>
      <c r="D102" s="68"/>
      <c r="E102" s="68"/>
      <c r="F102" s="152" t="s">
        <v>46</v>
      </c>
      <c r="G102" s="17" t="s">
        <v>179</v>
      </c>
      <c r="H102" s="17" t="s">
        <v>132</v>
      </c>
      <c r="I102" s="17" t="s">
        <v>73</v>
      </c>
      <c r="J102" s="17" t="s">
        <v>70</v>
      </c>
      <c r="K102" s="152" t="s">
        <v>96</v>
      </c>
      <c r="L102" s="17" t="s">
        <v>149</v>
      </c>
      <c r="M102" s="17" t="s">
        <v>179</v>
      </c>
      <c r="N102" s="152" t="s">
        <v>46</v>
      </c>
    </row>
    <row r="103" spans="1:14">
      <c r="A103" s="218" t="s">
        <v>381</v>
      </c>
      <c r="B103" s="9" t="str">
        <f>Legend!$A$33</f>
        <v>Public lighting</v>
      </c>
      <c r="C103" s="9" t="s">
        <v>71</v>
      </c>
      <c r="D103" s="9" t="str">
        <f>Legend!$B$43</f>
        <v>ELC</v>
      </c>
      <c r="E103" s="9" t="str">
        <f>Legend!$C$43</f>
        <v>SRVELC</v>
      </c>
      <c r="F103" s="607">
        <f>'Public SEAI'!C29*Legend!$B$66</f>
        <v>1.4472</v>
      </c>
      <c r="G103" s="608">
        <f>480000/10^6</f>
        <v>0.48</v>
      </c>
      <c r="H103" s="166">
        <v>0.04</v>
      </c>
      <c r="I103" s="391">
        <v>130</v>
      </c>
      <c r="J103" s="391">
        <f>12*365</f>
        <v>4380</v>
      </c>
      <c r="K103" s="392">
        <v>20</v>
      </c>
      <c r="L103" s="16">
        <f>J103*I103*(3.6*10^-6)</f>
        <v>2.0498400000000001</v>
      </c>
      <c r="M103" s="51">
        <f>$G$103*$H103</f>
        <v>1.9199999999999998E-2</v>
      </c>
      <c r="N103" s="51">
        <f>M103*J103*I103*(3.6*10^-6)</f>
        <v>3.9356927999999992E-2</v>
      </c>
    </row>
    <row r="104" spans="1:14">
      <c r="A104" s="5" t="s">
        <v>381</v>
      </c>
      <c r="B104" s="9" t="str">
        <f>Legend!$A$33</f>
        <v>Public lighting</v>
      </c>
      <c r="C104" s="9" t="s">
        <v>72</v>
      </c>
      <c r="D104" s="9" t="str">
        <f>Legend!$B$43</f>
        <v>ELC</v>
      </c>
      <c r="E104" s="9" t="str">
        <f>Legend!$C$43</f>
        <v>SRVELC</v>
      </c>
      <c r="F104" s="607"/>
      <c r="G104" s="608"/>
      <c r="H104" s="166">
        <v>0.15</v>
      </c>
      <c r="I104" s="391">
        <v>170</v>
      </c>
      <c r="J104" s="391">
        <f t="shared" ref="J104:J106" si="35">12*365</f>
        <v>4380</v>
      </c>
      <c r="K104" s="391">
        <v>20</v>
      </c>
      <c r="L104" s="16">
        <f>J104*I104*(3.6*10^-6)</f>
        <v>2.6805599999999998</v>
      </c>
      <c r="M104" s="51">
        <f>$G$103*$H104</f>
        <v>7.1999999999999995E-2</v>
      </c>
      <c r="N104" s="51">
        <f t="shared" ref="N104:N105" si="36">M104*J104*I104*(3.6*10^-6)</f>
        <v>0.19300031999999995</v>
      </c>
    </row>
    <row r="105" spans="1:14">
      <c r="A105" s="5" t="s">
        <v>381</v>
      </c>
      <c r="B105" s="9" t="str">
        <f>Legend!$A$33</f>
        <v>Public lighting</v>
      </c>
      <c r="C105" s="9" t="s">
        <v>31</v>
      </c>
      <c r="D105" s="9" t="str">
        <f>Legend!$B$43</f>
        <v>ELC</v>
      </c>
      <c r="E105" s="9" t="str">
        <f>Legend!$C$43</f>
        <v>SRVELC</v>
      </c>
      <c r="F105" s="607"/>
      <c r="G105" s="608"/>
      <c r="H105" s="166">
        <v>0.8</v>
      </c>
      <c r="I105" s="391">
        <v>200</v>
      </c>
      <c r="J105" s="391">
        <f t="shared" si="35"/>
        <v>4380</v>
      </c>
      <c r="K105" s="391">
        <v>20</v>
      </c>
      <c r="L105" s="16">
        <f>J105*I105*(3.6*10^-6)</f>
        <v>3.1536</v>
      </c>
      <c r="M105" s="51">
        <f>$G$103*$H105</f>
        <v>0.38400000000000001</v>
      </c>
      <c r="N105" s="51">
        <f t="shared" si="36"/>
        <v>1.2109824</v>
      </c>
    </row>
    <row r="106" spans="1:14">
      <c r="A106" s="10" t="s">
        <v>381</v>
      </c>
      <c r="B106" s="14" t="str">
        <f>Legend!$A$33</f>
        <v>Public lighting</v>
      </c>
      <c r="C106" s="14" t="s">
        <v>32</v>
      </c>
      <c r="D106" s="14" t="str">
        <f>Legend!$B$43</f>
        <v>ELC</v>
      </c>
      <c r="E106" s="14" t="str">
        <f>Legend!$C$43</f>
        <v>SRVELC</v>
      </c>
      <c r="F106" s="607"/>
      <c r="G106" s="608"/>
      <c r="H106" s="167">
        <v>0.01</v>
      </c>
      <c r="I106" s="393">
        <v>50</v>
      </c>
      <c r="J106" s="393">
        <f t="shared" si="35"/>
        <v>4380</v>
      </c>
      <c r="K106" s="393">
        <v>20</v>
      </c>
      <c r="L106" s="18">
        <f>J106*I106*(3.6*10^-6)</f>
        <v>0.78839999999999999</v>
      </c>
      <c r="M106" s="153">
        <f>$G$103*$H106</f>
        <v>4.7999999999999996E-3</v>
      </c>
      <c r="N106" s="51">
        <f>M106*J106*I106*(3.6*10^-6)</f>
        <v>3.784319999999999E-3</v>
      </c>
    </row>
    <row r="107" spans="1:14">
      <c r="A107" s="10" t="s">
        <v>381</v>
      </c>
      <c r="B107" s="14" t="str">
        <f>Legend!$A$33</f>
        <v>Public lighting</v>
      </c>
      <c r="C107" s="220" t="s">
        <v>478</v>
      </c>
      <c r="D107" s="14"/>
      <c r="E107" s="14"/>
      <c r="F107" s="14"/>
      <c r="G107" s="14"/>
      <c r="H107" s="221">
        <f>SUM(H103:H106)</f>
        <v>1</v>
      </c>
      <c r="I107" s="14"/>
      <c r="J107" s="14"/>
      <c r="K107" s="14"/>
      <c r="L107" s="14"/>
      <c r="M107" s="136">
        <f>SUM(M103:M106)</f>
        <v>0.48000000000000004</v>
      </c>
      <c r="N107" s="136">
        <f>SUM(N103:N106)</f>
        <v>1.4471239680000001</v>
      </c>
    </row>
    <row r="108" spans="1:14">
      <c r="A108"/>
      <c r="B108"/>
      <c r="D108"/>
      <c r="E108"/>
      <c r="G108"/>
      <c r="L108" s="61" t="s">
        <v>481</v>
      </c>
      <c r="M108" s="219">
        <f>M107-G103</f>
        <v>0</v>
      </c>
      <c r="N108" s="219">
        <f>N107-F103</f>
        <v>-7.6031999999948141E-5</v>
      </c>
    </row>
    <row r="109" spans="1:14">
      <c r="A109"/>
      <c r="B109"/>
      <c r="C109" s="61"/>
      <c r="D109"/>
      <c r="E109"/>
      <c r="F109" s="51"/>
      <c r="G109"/>
      <c r="K109" s="209"/>
      <c r="L109" s="43"/>
      <c r="M109" s="43"/>
      <c r="N109"/>
    </row>
    <row r="110" spans="1:14">
      <c r="A110" s="67" t="s">
        <v>506</v>
      </c>
      <c r="B110"/>
      <c r="C110" s="61"/>
      <c r="D110"/>
      <c r="E110"/>
      <c r="F110" s="51"/>
      <c r="G110"/>
      <c r="K110" s="209"/>
      <c r="L110" s="43"/>
      <c r="M110" s="43"/>
      <c r="N110"/>
    </row>
    <row r="111" spans="1:14" ht="29.5" thickBot="1">
      <c r="A111" s="12" t="s">
        <v>378</v>
      </c>
      <c r="B111" s="12" t="s">
        <v>160</v>
      </c>
      <c r="C111" s="12" t="s">
        <v>81</v>
      </c>
      <c r="D111" s="12" t="s">
        <v>172</v>
      </c>
      <c r="E111" s="12" t="s">
        <v>173</v>
      </c>
      <c r="F111" s="12" t="s">
        <v>111</v>
      </c>
      <c r="G111" s="13" t="s">
        <v>474</v>
      </c>
      <c r="H111" s="156" t="s">
        <v>403</v>
      </c>
      <c r="I111" s="13" t="s">
        <v>402</v>
      </c>
      <c r="J111"/>
      <c r="K111"/>
      <c r="L111"/>
      <c r="M111" s="43"/>
      <c r="N111"/>
    </row>
    <row r="112" spans="1:14" ht="29.5" thickBot="1">
      <c r="A112" s="222" t="s">
        <v>477</v>
      </c>
      <c r="B112" s="223"/>
      <c r="C112" s="228"/>
      <c r="D112" s="228"/>
      <c r="E112" s="228"/>
      <c r="F112" s="229" t="s">
        <v>475</v>
      </c>
      <c r="G112" s="230" t="s">
        <v>476</v>
      </c>
      <c r="H112" s="224" t="s">
        <v>404</v>
      </c>
      <c r="I112" s="231"/>
      <c r="J112"/>
      <c r="K112"/>
      <c r="L112"/>
      <c r="M112" s="43"/>
      <c r="N112"/>
    </row>
    <row r="113" spans="1:14">
      <c r="A113" s="211"/>
      <c r="B113" s="211"/>
      <c r="F113" s="9" t="s">
        <v>67</v>
      </c>
      <c r="G113" s="9" t="s">
        <v>132</v>
      </c>
      <c r="H113" s="152" t="s">
        <v>96</v>
      </c>
      <c r="I113" s="9" t="s">
        <v>46</v>
      </c>
      <c r="J113"/>
      <c r="K113" s="208"/>
      <c r="L113"/>
      <c r="M113" s="43"/>
      <c r="N113"/>
    </row>
    <row r="114" spans="1:14">
      <c r="A114" s="212" t="str">
        <f>Legend!$A$21</f>
        <v>Commercial Services</v>
      </c>
      <c r="B114" s="212" t="str">
        <f>Legend!$A$32</f>
        <v>Data centers</v>
      </c>
      <c r="C114" s="212" t="str">
        <f>Legend!$A$43</f>
        <v>Electricity</v>
      </c>
      <c r="D114" s="212" t="str">
        <f>Legend!$B$43</f>
        <v>ELC</v>
      </c>
      <c r="E114" s="212" t="str">
        <f>Legend!$C$43</f>
        <v>SRVELC</v>
      </c>
      <c r="F114" s="213">
        <f>510/1000</f>
        <v>0.51</v>
      </c>
      <c r="G114" s="214">
        <v>0.35</v>
      </c>
      <c r="H114" s="274">
        <v>20</v>
      </c>
      <c r="I114" s="215">
        <f>F114*G114*31.536</f>
        <v>5.6291760000000002</v>
      </c>
      <c r="J114"/>
      <c r="K114"/>
      <c r="L114"/>
      <c r="M114" s="43"/>
      <c r="N114"/>
    </row>
    <row r="115" spans="1:14">
      <c r="A115"/>
      <c r="B115"/>
      <c r="C115" s="61"/>
      <c r="D115"/>
      <c r="E115"/>
      <c r="F115" s="51"/>
      <c r="G115"/>
      <c r="K115" s="209"/>
      <c r="L115" s="43"/>
      <c r="M115" s="43"/>
      <c r="N115"/>
    </row>
    <row r="116" spans="1:14">
      <c r="A116" s="67"/>
      <c r="N116"/>
    </row>
  </sheetData>
  <mergeCells count="2">
    <mergeCell ref="F103:F106"/>
    <mergeCell ref="G103:G106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9" tint="0.59999389629810485"/>
  </sheetPr>
  <dimension ref="B1:O98"/>
  <sheetViews>
    <sheetView zoomScale="80" zoomScaleNormal="80" workbookViewId="0">
      <selection activeCell="L25" sqref="L25"/>
    </sheetView>
  </sheetViews>
  <sheetFormatPr defaultRowHeight="14.5"/>
  <cols>
    <col min="1" max="1" width="2" bestFit="1" customWidth="1"/>
    <col min="2" max="2" width="10.26953125" style="9" bestFit="1" customWidth="1"/>
    <col min="3" max="3" width="12.1796875" style="9" bestFit="1" customWidth="1"/>
    <col min="4" max="4" width="24.26953125" style="9" customWidth="1"/>
    <col min="5" max="5" width="45" style="9" bestFit="1" customWidth="1"/>
    <col min="6" max="6" width="17.453125" style="9" bestFit="1" customWidth="1"/>
    <col min="7" max="7" width="11.26953125" style="9" bestFit="1" customWidth="1"/>
    <col min="8" max="8" width="10.1796875" style="9" bestFit="1" customWidth="1"/>
    <col min="9" max="9" width="10.7265625" style="9" bestFit="1" customWidth="1"/>
    <col min="10" max="10" width="8.26953125" style="9" bestFit="1" customWidth="1"/>
    <col min="11" max="11" width="9.26953125" style="9" customWidth="1"/>
    <col min="12" max="21" width="9.26953125" customWidth="1"/>
  </cols>
  <sheetData>
    <row r="1" spans="2:10" ht="23.5">
      <c r="B1" s="20" t="s">
        <v>84</v>
      </c>
      <c r="C1" s="20"/>
    </row>
    <row r="2" spans="2:10">
      <c r="B2" s="35" t="s">
        <v>5</v>
      </c>
      <c r="C2" s="35"/>
      <c r="D2" s="36"/>
      <c r="E2" s="36"/>
      <c r="F2" s="36"/>
      <c r="G2" s="36"/>
      <c r="H2" s="36"/>
      <c r="I2" s="36"/>
      <c r="J2" s="36"/>
    </row>
    <row r="3" spans="2:10" ht="15" thickBot="1">
      <c r="B3" s="21" t="s">
        <v>6</v>
      </c>
      <c r="C3" s="21" t="s">
        <v>520</v>
      </c>
      <c r="D3" s="21" t="s">
        <v>7</v>
      </c>
      <c r="E3" s="21" t="s">
        <v>8</v>
      </c>
      <c r="F3" s="21" t="s">
        <v>0</v>
      </c>
      <c r="G3" s="21" t="s">
        <v>9</v>
      </c>
      <c r="H3" s="21" t="s">
        <v>10</v>
      </c>
      <c r="I3" s="21" t="s">
        <v>11</v>
      </c>
      <c r="J3" s="21" t="s">
        <v>12</v>
      </c>
    </row>
    <row r="4" spans="2:10" ht="26">
      <c r="B4" s="37" t="s">
        <v>114</v>
      </c>
      <c r="C4" s="37" t="s">
        <v>534</v>
      </c>
      <c r="D4" s="38" t="s">
        <v>517</v>
      </c>
      <c r="E4" s="38" t="s">
        <v>89</v>
      </c>
      <c r="F4" s="38"/>
      <c r="G4" s="38"/>
      <c r="H4" s="38"/>
      <c r="I4" s="38"/>
      <c r="J4" s="38"/>
    </row>
    <row r="5" spans="2:10">
      <c r="B5" s="9" t="s">
        <v>27</v>
      </c>
      <c r="C5" s="9" t="str">
        <f>_xlfn.TEXTJOIN(",",TRUE,IF(LEFT(Regions!$C$3,1)&lt;&gt;"*",Regions!$C$3,""),IF(LEFT(Regions!$D$3,1)&lt;&gt;"*",Regions!$D$3,""))</f>
        <v>IE,National</v>
      </c>
      <c r="D5" s="9" t="str">
        <f>CONCATENATE(Legend!$C$4,"-",Legend!C21)</f>
        <v>SRV-CS</v>
      </c>
      <c r="E5" s="9" t="str">
        <f>CONCATENATE(Legend!$B$4," - ",Legend!A21)</f>
        <v>Services - Commercial Services</v>
      </c>
      <c r="F5" s="9" t="s">
        <v>66</v>
      </c>
    </row>
    <row r="6" spans="2:10">
      <c r="B6" s="14" t="s">
        <v>27</v>
      </c>
      <c r="C6" s="14" t="str">
        <f>_xlfn.TEXTJOIN(",",TRUE,IF(LEFT(Regions!$C$3,1)&lt;&gt;"*",Regions!$C$3,""),IF(LEFT(Regions!$D$3,1)&lt;&gt;"*",Regions!$D$3,""))</f>
        <v>IE,National</v>
      </c>
      <c r="D6" s="14" t="str">
        <f>CONCATENATE(Legend!$C$4,"-",Legend!C22)</f>
        <v>SRV-PU</v>
      </c>
      <c r="E6" s="14" t="str">
        <f>CONCATENATE(Legend!$B$4," - ",Legend!A22)</f>
        <v>Services - Public Services</v>
      </c>
      <c r="F6" s="14" t="s">
        <v>66</v>
      </c>
      <c r="G6" s="14"/>
      <c r="H6" s="14"/>
      <c r="I6" s="14"/>
      <c r="J6" s="14"/>
    </row>
    <row r="7" spans="2:10">
      <c r="B7" s="9" t="s">
        <v>21</v>
      </c>
      <c r="C7" s="9" t="str">
        <f>_xlfn.TEXTJOIN(",",TRUE,IF(LEFT(Regions!$C$3,1)&lt;&gt;"*",Regions!$C$3,""),IF(LEFT(Regions!$D$3,1)&lt;&gt;"*",Regions!$D$3,""))</f>
        <v>IE,National</v>
      </c>
      <c r="D7" s="9" t="str">
        <f>CONCATENATE(Legend!$C$4,Legend!$C24,"-",Legend!$C$21)</f>
        <v>SRVSH-CS</v>
      </c>
      <c r="E7" s="9" t="str">
        <f>CONCATENATE(Legend!$C$4,"-",Legend!$A$21,": ",Legend!A24)</f>
        <v>SRV-Commercial Services: Space heating</v>
      </c>
      <c r="F7" s="9" t="s">
        <v>46</v>
      </c>
      <c r="H7" s="9" t="s">
        <v>30</v>
      </c>
    </row>
    <row r="8" spans="2:10">
      <c r="B8" s="9" t="s">
        <v>21</v>
      </c>
      <c r="C8" s="9" t="str">
        <f>_xlfn.TEXTJOIN(",",TRUE,IF(LEFT(Regions!$C$3,1)&lt;&gt;"*",Regions!$C$3,""),IF(LEFT(Regions!$D$3,1)&lt;&gt;"*",Regions!$D$3,""))</f>
        <v>IE,National</v>
      </c>
      <c r="D8" s="9" t="str">
        <f>CONCATENATE(Legend!$C$4,Legend!$C25,"-",Legend!$C$21)</f>
        <v>SRVWH-CS</v>
      </c>
      <c r="E8" s="9" t="str">
        <f>CONCATENATE(Legend!$C$4,"-",Legend!$A$21,": ",Legend!A25)</f>
        <v>SRV-Commercial Services: Water heating</v>
      </c>
      <c r="F8" s="9" t="s">
        <v>46</v>
      </c>
      <c r="H8" s="9" t="s">
        <v>30</v>
      </c>
    </row>
    <row r="9" spans="2:10">
      <c r="B9" s="9" t="s">
        <v>21</v>
      </c>
      <c r="C9" s="9" t="str">
        <f>_xlfn.TEXTJOIN(",",TRUE,IF(LEFT(Regions!$C$3,1)&lt;&gt;"*",Regions!$C$3,""),IF(LEFT(Regions!$D$3,1)&lt;&gt;"*",Regions!$D$3,""))</f>
        <v>IE,National</v>
      </c>
      <c r="D9" s="9" t="str">
        <f>CONCATENATE(Legend!$C$4,Legend!$C26,"-",Legend!$C$21)</f>
        <v>SRVSC-CS</v>
      </c>
      <c r="E9" s="9" t="str">
        <f>CONCATENATE(Legend!$C$4,"-",Legend!$A$21,": ",Legend!A26)</f>
        <v>SRV-Commercial Services: Space cooling</v>
      </c>
      <c r="F9" s="9" t="s">
        <v>46</v>
      </c>
      <c r="H9" s="9" t="s">
        <v>30</v>
      </c>
    </row>
    <row r="10" spans="2:10">
      <c r="B10" s="9" t="s">
        <v>21</v>
      </c>
      <c r="C10" s="9" t="str">
        <f>_xlfn.TEXTJOIN(",",TRUE,IF(LEFT(Regions!$C$3,1)&lt;&gt;"*",Regions!$C$3,""),IF(LEFT(Regions!$D$3,1)&lt;&gt;"*",Regions!$D$3,""))</f>
        <v>IE,National</v>
      </c>
      <c r="D10" s="9" t="str">
        <f>CONCATENATE(Legend!$C$4,Legend!$C28,"-",Legend!$C$21)</f>
        <v>SRVCK-CS</v>
      </c>
      <c r="E10" s="9" t="str">
        <f>CONCATENATE(Legend!$C$4,"-",Legend!$A$21,": ",Legend!A28)</f>
        <v>SRV-Commercial Services: Cooking</v>
      </c>
      <c r="F10" s="9" t="s">
        <v>46</v>
      </c>
      <c r="H10" s="9" t="s">
        <v>30</v>
      </c>
    </row>
    <row r="11" spans="2:10">
      <c r="B11" s="9" t="s">
        <v>21</v>
      </c>
      <c r="C11" s="9" t="str">
        <f>_xlfn.TEXTJOIN(",",TRUE,IF(LEFT(Regions!$C$3,1)&lt;&gt;"*",Regions!$C$3,""),IF(LEFT(Regions!$D$3,1)&lt;&gt;"*",Regions!$D$3,""))</f>
        <v>IE,National</v>
      </c>
      <c r="D11" s="9" t="str">
        <f>CONCATENATE(Legend!$C$4,Legend!$C29,"-",Legend!$C$21)</f>
        <v>SRVLIG-CS</v>
      </c>
      <c r="E11" s="9" t="str">
        <f>CONCATENATE(Legend!$C$4,"-",Legend!$A$21,": ",Legend!A29)</f>
        <v>SRV-Commercial Services: Building lighting</v>
      </c>
      <c r="F11" s="9" t="s">
        <v>583</v>
      </c>
      <c r="H11" s="9" t="s">
        <v>30</v>
      </c>
    </row>
    <row r="12" spans="2:10">
      <c r="B12" s="9" t="s">
        <v>21</v>
      </c>
      <c r="C12" s="9" t="str">
        <f>_xlfn.TEXTJOIN(",",TRUE,IF(LEFT(Regions!$C$3,1)&lt;&gt;"*",Regions!$C$3,""),IF(LEFT(Regions!$D$3,1)&lt;&gt;"*",Regions!$D$3,""))</f>
        <v>IE,National</v>
      </c>
      <c r="D12" s="9" t="str">
        <f>CONCATENATE(Legend!$C$4,Legend!$C30,"-",Legend!$C$21)</f>
        <v>SRVREF-CS</v>
      </c>
      <c r="E12" s="9" t="str">
        <f>CONCATENATE(Legend!$C$4,"-",Legend!$A$21,": ",Legend!A30)</f>
        <v>SRV-Commercial Services: Refrigeration</v>
      </c>
      <c r="F12" s="9" t="s">
        <v>407</v>
      </c>
      <c r="H12" s="9" t="s">
        <v>30</v>
      </c>
    </row>
    <row r="13" spans="2:10">
      <c r="B13" s="9" t="s">
        <v>21</v>
      </c>
      <c r="C13" s="9" t="str">
        <f>_xlfn.TEXTJOIN(",",TRUE,IF(LEFT(Regions!$C$3,1)&lt;&gt;"*",Regions!$C$3,""),IF(LEFT(Regions!$D$3,1)&lt;&gt;"*",Regions!$D$3,""))</f>
        <v>IE,National</v>
      </c>
      <c r="D13" s="9" t="str">
        <f>CONCATENATE(Legend!$C$4,Legend!$C31,"-",Legend!$C$21)</f>
        <v>SRVOEL-CS</v>
      </c>
      <c r="E13" s="9" t="str">
        <f>CONCATENATE(Legend!$C$4,"-",Legend!$A$21,": ",Legend!A31)</f>
        <v>SRV-Commercial Services: Other appliances</v>
      </c>
      <c r="F13" s="9" t="s">
        <v>46</v>
      </c>
      <c r="H13" s="9" t="s">
        <v>30</v>
      </c>
    </row>
    <row r="14" spans="2:10">
      <c r="B14" s="9" t="s">
        <v>21</v>
      </c>
      <c r="C14" s="9" t="str">
        <f>_xlfn.TEXTJOIN(",",TRUE,IF(LEFT(Regions!$C$3,1)&lt;&gt;"*",Regions!$C$3,""),IF(LEFT(Regions!$D$3,1)&lt;&gt;"*",Regions!$D$3,""))</f>
        <v>IE,National</v>
      </c>
      <c r="D14" s="9" t="str">
        <f>CONCATENATE(Legend!$C$4,Legend!$C24,"-",Legend!$C$22)</f>
        <v>SRVSH-PU</v>
      </c>
      <c r="E14" s="9" t="str">
        <f>CONCATENATE(Legend!$C$4,"-",Legend!$A$22,": ",Legend!A24)</f>
        <v>SRV-Public Services: Space heating</v>
      </c>
      <c r="F14" s="9" t="s">
        <v>46</v>
      </c>
      <c r="H14" s="9" t="s">
        <v>30</v>
      </c>
    </row>
    <row r="15" spans="2:10">
      <c r="B15" s="9" t="s">
        <v>21</v>
      </c>
      <c r="C15" s="9" t="str">
        <f>_xlfn.TEXTJOIN(",",TRUE,IF(LEFT(Regions!$C$3,1)&lt;&gt;"*",Regions!$C$3,""),IF(LEFT(Regions!$D$3,1)&lt;&gt;"*",Regions!$D$3,""))</f>
        <v>IE,National</v>
      </c>
      <c r="D15" s="9" t="str">
        <f>CONCATENATE(Legend!$C$4,Legend!$C25,"-",Legend!$C$22)</f>
        <v>SRVWH-PU</v>
      </c>
      <c r="E15" s="9" t="str">
        <f>CONCATENATE(Legend!$C$4,"-",Legend!$A$22,": ",Legend!A25)</f>
        <v>SRV-Public Services: Water heating</v>
      </c>
      <c r="F15" s="9" t="s">
        <v>46</v>
      </c>
      <c r="H15" s="9" t="s">
        <v>30</v>
      </c>
    </row>
    <row r="16" spans="2:10">
      <c r="B16" s="9" t="s">
        <v>21</v>
      </c>
      <c r="C16" s="9" t="str">
        <f>_xlfn.TEXTJOIN(",",TRUE,IF(LEFT(Regions!$C$3,1)&lt;&gt;"*",Regions!$C$3,""),IF(LEFT(Regions!$D$3,1)&lt;&gt;"*",Regions!$D$3,""))</f>
        <v>IE,National</v>
      </c>
      <c r="D16" s="9" t="str">
        <f>CONCATENATE(Legend!$C$4,Legend!$C26,"-",Legend!$C$22)</f>
        <v>SRVSC-PU</v>
      </c>
      <c r="E16" s="9" t="str">
        <f>CONCATENATE(Legend!$C$4,"-",Legend!$A$22,": ",Legend!A26)</f>
        <v>SRV-Public Services: Space cooling</v>
      </c>
      <c r="F16" s="9" t="s">
        <v>46</v>
      </c>
      <c r="H16" s="9" t="s">
        <v>30</v>
      </c>
    </row>
    <row r="17" spans="2:10">
      <c r="B17" s="9" t="s">
        <v>21</v>
      </c>
      <c r="C17" s="9" t="str">
        <f>_xlfn.TEXTJOIN(",",TRUE,IF(LEFT(Regions!$C$3,1)&lt;&gt;"*",Regions!$C$3,""),IF(LEFT(Regions!$D$3,1)&lt;&gt;"*",Regions!$D$3,""))</f>
        <v>IE,National</v>
      </c>
      <c r="D17" s="9" t="str">
        <f>CONCATENATE(Legend!$C$4,Legend!$C28,"-",Legend!$C$22)</f>
        <v>SRVCK-PU</v>
      </c>
      <c r="E17" s="9" t="str">
        <f>CONCATENATE(Legend!$C$4,"-",Legend!$A$22,": ",Legend!A28)</f>
        <v>SRV-Public Services: Cooking</v>
      </c>
      <c r="F17" s="9" t="s">
        <v>46</v>
      </c>
      <c r="H17" s="9" t="s">
        <v>30</v>
      </c>
    </row>
    <row r="18" spans="2:10">
      <c r="B18" s="9" t="s">
        <v>21</v>
      </c>
      <c r="C18" s="9" t="str">
        <f>_xlfn.TEXTJOIN(",",TRUE,IF(LEFT(Regions!$C$3,1)&lt;&gt;"*",Regions!$C$3,""),IF(LEFT(Regions!$D$3,1)&lt;&gt;"*",Regions!$D$3,""))</f>
        <v>IE,National</v>
      </c>
      <c r="D18" s="9" t="str">
        <f>CONCATENATE(Legend!$C$4,Legend!$C29,"-",Legend!$C$22)</f>
        <v>SRVLIG-PU</v>
      </c>
      <c r="E18" s="9" t="str">
        <f>CONCATENATE(Legend!$C$4,"-",Legend!$A$22,": ",Legend!A29)</f>
        <v>SRV-Public Services: Building lighting</v>
      </c>
      <c r="F18" s="9" t="s">
        <v>583</v>
      </c>
      <c r="H18" s="9" t="s">
        <v>30</v>
      </c>
    </row>
    <row r="19" spans="2:10">
      <c r="B19" s="9" t="s">
        <v>21</v>
      </c>
      <c r="C19" s="9" t="str">
        <f>_xlfn.TEXTJOIN(",",TRUE,IF(LEFT(Regions!$C$3,1)&lt;&gt;"*",Regions!$C$3,""),IF(LEFT(Regions!$D$3,1)&lt;&gt;"*",Regions!$D$3,""))</f>
        <v>IE,National</v>
      </c>
      <c r="D19" s="9" t="str">
        <f>CONCATENATE(Legend!$C$4,Legend!$C30,"-",Legend!$C$22)</f>
        <v>SRVREF-PU</v>
      </c>
      <c r="E19" s="9" t="str">
        <f>CONCATENATE(Legend!$C$4,"-",Legend!$A$22,": ",Legend!A30)</f>
        <v>SRV-Public Services: Refrigeration</v>
      </c>
      <c r="F19" s="9" t="s">
        <v>407</v>
      </c>
      <c r="H19" s="9" t="s">
        <v>30</v>
      </c>
    </row>
    <row r="20" spans="2:10">
      <c r="B20" s="9" t="s">
        <v>21</v>
      </c>
      <c r="C20" s="9" t="str">
        <f>_xlfn.TEXTJOIN(",",TRUE,IF(LEFT(Regions!$C$3,1)&lt;&gt;"*",Regions!$C$3,""),IF(LEFT(Regions!$D$3,1)&lt;&gt;"*",Regions!$D$3,""))</f>
        <v>IE,National</v>
      </c>
      <c r="D20" s="9" t="str">
        <f>CONCATENATE(Legend!$C$4,Legend!$C31,"-",Legend!$C$22)</f>
        <v>SRVOEL-PU</v>
      </c>
      <c r="E20" s="9" t="str">
        <f>CONCATENATE(Legend!$C$4,"-",Legend!$A$22,": ",Legend!A31)</f>
        <v>SRV-Public Services: Other appliances</v>
      </c>
      <c r="F20" s="9" t="s">
        <v>46</v>
      </c>
      <c r="H20" s="9" t="s">
        <v>30</v>
      </c>
    </row>
    <row r="21" spans="2:10">
      <c r="B21" s="272" t="s">
        <v>27</v>
      </c>
      <c r="C21" s="272" t="str">
        <f>_xlfn.TEXTJOIN(",",TRUE,IF(LEFT(Regions!$C$3,1)&lt;&gt;"*",Regions!$C$3,""),IF(LEFT(Regions!$D$3,1)&lt;&gt;"*",Regions!$D$3,""))</f>
        <v>IE,National</v>
      </c>
      <c r="D21" s="272" t="str">
        <f>CONCATENATE(Legend!$C$4,Legend!$C32,"-",Legend!$C$21)</f>
        <v>SRVDCE-CS</v>
      </c>
      <c r="E21" s="272" t="str">
        <f>CONCATENATE(Legend!$C$4,"-",Legend!$A$21,": ",Legend!A32)</f>
        <v>SRV-Commercial Services: Data centers</v>
      </c>
      <c r="F21" s="272" t="s">
        <v>46</v>
      </c>
      <c r="G21" s="272"/>
      <c r="H21" s="272" t="s">
        <v>30</v>
      </c>
      <c r="I21" s="272"/>
      <c r="J21" s="272"/>
    </row>
    <row r="22" spans="2:10">
      <c r="B22" s="14" t="s">
        <v>27</v>
      </c>
      <c r="C22" s="14" t="str">
        <f>_xlfn.TEXTJOIN(",",TRUE,IF(LEFT(Regions!$C$3,1)&lt;&gt;"*",Regions!$C$3,""),IF(LEFT(Regions!$D$3,1)&lt;&gt;"*",Regions!$D$3,""))</f>
        <v>IE,National</v>
      </c>
      <c r="D22" s="14" t="str">
        <f>CONCATENATE(Legend!$C$4,Legend!$C33,"-",Legend!$C$22)</f>
        <v>SRVPLIG-PU</v>
      </c>
      <c r="E22" s="14" t="str">
        <f>CONCATENATE(Legend!$C$4,"-",Legend!$A$22,": ",Legend!A33)</f>
        <v>SRV-Public Services: Public lighting</v>
      </c>
      <c r="F22" s="14" t="str">
        <f>PLIG_Techs!P7</f>
        <v>Mlamps</v>
      </c>
      <c r="G22" s="14"/>
      <c r="H22" s="14" t="s">
        <v>30</v>
      </c>
      <c r="I22" s="14"/>
      <c r="J22" s="14"/>
    </row>
    <row r="23" spans="2:10">
      <c r="B23" s="9" t="s">
        <v>21</v>
      </c>
      <c r="C23" s="9" t="str">
        <f>_xlfn.TEXTJOIN(",",TRUE,IF(LEFT(Regions!$C$3,1)&lt;&gt;"*",Regions!$C$3,""),IF(LEFT(Regions!$D$3,1)&lt;&gt;"*",Regions!$D$3,""))</f>
        <v>IE,National</v>
      </c>
      <c r="D23" s="9" t="str">
        <f>Legend!C36</f>
        <v>SRVCOA</v>
      </c>
      <c r="E23" s="9" t="str">
        <f>Legend!A36&amp;" (SRV)"</f>
        <v>Solids (SRV)</v>
      </c>
      <c r="F23" s="9" t="s">
        <v>46</v>
      </c>
      <c r="G23" s="9" t="s">
        <v>155</v>
      </c>
    </row>
    <row r="24" spans="2:10">
      <c r="B24" s="9" t="s">
        <v>21</v>
      </c>
      <c r="C24" s="9" t="str">
        <f>_xlfn.TEXTJOIN(",",TRUE,IF(LEFT(Regions!$C$3,1)&lt;&gt;"*",Regions!$C$3,""),IF(LEFT(Regions!$D$3,1)&lt;&gt;"*",Regions!$D$3,""))</f>
        <v>IE,National</v>
      </c>
      <c r="D24" s="9" t="str">
        <f>Legend!C37</f>
        <v>SRVLPG</v>
      </c>
      <c r="E24" s="9" t="str">
        <f>Legend!A37&amp;" (SRV)"</f>
        <v>LPG (SRV)</v>
      </c>
      <c r="F24" s="9" t="s">
        <v>46</v>
      </c>
      <c r="G24" s="9" t="s">
        <v>155</v>
      </c>
    </row>
    <row r="25" spans="2:10">
      <c r="B25" s="9" t="s">
        <v>21</v>
      </c>
      <c r="C25" s="9" t="str">
        <f>_xlfn.TEXTJOIN(",",TRUE,IF(LEFT(Regions!$C$3,1)&lt;&gt;"*",Regions!$C$3,""),IF(LEFT(Regions!$D$3,1)&lt;&gt;"*",Regions!$D$3,""))</f>
        <v>IE,National</v>
      </c>
      <c r="D25" s="9" t="str">
        <f>Legend!C38</f>
        <v>SRVOIL</v>
      </c>
      <c r="E25" s="9" t="str">
        <f>Legend!A38&amp;" (SRV)"</f>
        <v>Oil (SRV)</v>
      </c>
      <c r="F25" s="9" t="s">
        <v>46</v>
      </c>
      <c r="G25" s="9" t="s">
        <v>155</v>
      </c>
      <c r="J25"/>
    </row>
    <row r="26" spans="2:10">
      <c r="B26" s="9" t="s">
        <v>21</v>
      </c>
      <c r="C26" s="9" t="str">
        <f>_xlfn.TEXTJOIN(",",TRUE,IF(LEFT(Regions!$C$3,1)&lt;&gt;"*",Regions!$C$3,""),IF(LEFT(Regions!$D$3,1)&lt;&gt;"*",Regions!$D$3,""))</f>
        <v>IE,National</v>
      </c>
      <c r="D26" s="9" t="str">
        <f>Legend!C39</f>
        <v>SRVGAS</v>
      </c>
      <c r="E26" s="9" t="str">
        <f>Legend!A39&amp;" (SRV)"</f>
        <v>Natural Gas (SRV)</v>
      </c>
      <c r="F26" s="9" t="s">
        <v>46</v>
      </c>
      <c r="G26" s="9" t="s">
        <v>155</v>
      </c>
    </row>
    <row r="27" spans="2:10">
      <c r="B27" s="9" t="s">
        <v>21</v>
      </c>
      <c r="C27" s="9" t="str">
        <f>_xlfn.TEXTJOIN(",",TRUE,IF(LEFT(Regions!$C$3,1)&lt;&gt;"*",Regions!$C$3,""),IF(LEFT(Regions!$D$3,1)&lt;&gt;"*",Regions!$D$3,""))</f>
        <v>IE,National</v>
      </c>
      <c r="D27" s="9" t="str">
        <f>Legend!C40</f>
        <v>SRVBIO</v>
      </c>
      <c r="E27" s="9" t="str">
        <f>Legend!A40&amp;" (SRV)"</f>
        <v>Biomass (SRV)</v>
      </c>
      <c r="F27" s="9" t="s">
        <v>46</v>
      </c>
      <c r="G27" t="s">
        <v>155</v>
      </c>
      <c r="H27"/>
      <c r="I27"/>
      <c r="J27"/>
    </row>
    <row r="28" spans="2:10">
      <c r="B28" s="9" t="s">
        <v>21</v>
      </c>
      <c r="C28" s="9" t="str">
        <f>_xlfn.TEXTJOIN(",",TRUE,IF(LEFT(Regions!$C$3,1)&lt;&gt;"*",Regions!$C$3,""),IF(LEFT(Regions!$D$3,1)&lt;&gt;"*",Regions!$D$3,""))</f>
        <v>IE,National</v>
      </c>
      <c r="D28" s="9" t="str">
        <f>Legend!C41</f>
        <v>SRVBGS</v>
      </c>
      <c r="E28" s="9" t="str">
        <f>Legend!A41&amp;" (SRV)"</f>
        <v>Biogas (SRV)</v>
      </c>
      <c r="F28" s="9" t="s">
        <v>46</v>
      </c>
      <c r="G28" t="s">
        <v>155</v>
      </c>
      <c r="H28"/>
      <c r="I28"/>
      <c r="J28"/>
    </row>
    <row r="29" spans="2:10">
      <c r="B29" s="9" t="s">
        <v>21</v>
      </c>
      <c r="C29" s="9" t="str">
        <f>_xlfn.TEXTJOIN(",",TRUE,IF(LEFT(Regions!$C$3,1)&lt;&gt;"*",Regions!$C$3,""),IF(LEFT(Regions!$D$3,1)&lt;&gt;"*",Regions!$D$3,""))</f>
        <v>IE,National</v>
      </c>
      <c r="D29" s="9" t="str">
        <f>Legend!C42</f>
        <v>SRVSOL</v>
      </c>
      <c r="E29" s="9" t="str">
        <f>Legend!A42&amp;" (SRV)"</f>
        <v>Solar (SRV)</v>
      </c>
      <c r="F29" s="9" t="s">
        <v>46</v>
      </c>
      <c r="G29" s="9" t="s">
        <v>155</v>
      </c>
      <c r="I29"/>
      <c r="J29"/>
    </row>
    <row r="30" spans="2:10">
      <c r="B30" s="9" t="s">
        <v>21</v>
      </c>
      <c r="C30" s="9" t="str">
        <f>_xlfn.TEXTJOIN(",",TRUE,IF(LEFT(Regions!$C$3,1)&lt;&gt;"*",Regions!$C$3,""),IF(LEFT(Regions!$D$3,1)&lt;&gt;"*",Regions!$D$3,""))</f>
        <v>IE,National</v>
      </c>
      <c r="D30" s="9" t="str">
        <f>Legend!C43</f>
        <v>SRVELC</v>
      </c>
      <c r="E30" s="9" t="str">
        <f>Legend!A43&amp;" (SRV)"</f>
        <v>Electricity (SRV)</v>
      </c>
      <c r="F30" s="9" t="s">
        <v>46</v>
      </c>
      <c r="G30" s="9" t="s">
        <v>155</v>
      </c>
      <c r="H30" s="9" t="s">
        <v>88</v>
      </c>
      <c r="J30" s="9" t="s">
        <v>47</v>
      </c>
    </row>
    <row r="31" spans="2:10">
      <c r="B31" s="9" t="s">
        <v>21</v>
      </c>
      <c r="C31" s="9" t="str">
        <f>_xlfn.TEXTJOIN(",",TRUE,IF(LEFT(Regions!$C$3,1)&lt;&gt;"*",Regions!$C$3,""),IF(LEFT(Regions!$D$3,1)&lt;&gt;"*",Regions!$D$3,""))</f>
        <v>IE,National</v>
      </c>
      <c r="D31" s="9" t="str">
        <f>Legend!C44</f>
        <v>SRVAHT</v>
      </c>
      <c r="E31" s="9" t="str">
        <f>Legend!A44&amp;" (SRV)"</f>
        <v>Ambient Heat (SRV)</v>
      </c>
      <c r="F31" s="9" t="s">
        <v>46</v>
      </c>
      <c r="G31" t="s">
        <v>155</v>
      </c>
      <c r="H31"/>
    </row>
    <row r="32" spans="2:10">
      <c r="B32" s="9" t="s">
        <v>21</v>
      </c>
      <c r="C32" s="9" t="str">
        <f>_xlfn.TEXTJOIN(",",TRUE,IF(LEFT(Regions!$C$3,1)&lt;&gt;"*",Regions!$C$3,""),IF(LEFT(Regions!$D$3,1)&lt;&gt;"*",Regions!$D$3,""))</f>
        <v>IE,National</v>
      </c>
      <c r="D32" s="9" t="str">
        <f>Legend!C45</f>
        <v>SRVAHT2</v>
      </c>
      <c r="E32" s="9" t="str">
        <f>Legend!A45&amp;" (SRV)"</f>
        <v>Ambient Heat 2 (SRV)</v>
      </c>
      <c r="F32" s="9" t="s">
        <v>46</v>
      </c>
      <c r="G32" t="s">
        <v>155</v>
      </c>
      <c r="H32"/>
    </row>
    <row r="33" spans="2:15">
      <c r="B33" s="9" t="s">
        <v>21</v>
      </c>
      <c r="C33" s="9" t="str">
        <f>_xlfn.TEXTJOIN(",",TRUE,IF(LEFT(Regions!$C$3,1)&lt;&gt;"*",Regions!$C$3,""),IF(LEFT(Regions!$D$3,1)&lt;&gt;"*",Regions!$D$3,""))</f>
        <v>IE,National</v>
      </c>
      <c r="D33" s="9" t="str">
        <f>Legend!C46</f>
        <v>SRVHET</v>
      </c>
      <c r="E33" s="9" t="str">
        <f>Legend!A46&amp;" (SRV)"</f>
        <v>District heating (SRV)</v>
      </c>
      <c r="F33" s="9" t="s">
        <v>46</v>
      </c>
      <c r="G33" s="9" t="s">
        <v>155</v>
      </c>
      <c r="H33" s="9" t="s">
        <v>88</v>
      </c>
    </row>
    <row r="34" spans="2:15">
      <c r="B34" s="9" t="s">
        <v>21</v>
      </c>
      <c r="C34" s="9" t="str">
        <f>_xlfn.TEXTJOIN(",",TRUE,IF(LEFT(Regions!$C$3,1)&lt;&gt;"*",Regions!$C$3,""),IF(LEFT(Regions!$D$3,1)&lt;&gt;"*",Regions!$D$3,""))</f>
        <v>IE,National</v>
      </c>
      <c r="D34" s="9" t="str">
        <f>Legend!C47</f>
        <v>SRVWIN</v>
      </c>
      <c r="E34" s="9" t="str">
        <f>Legend!A47&amp;" (SRV)"</f>
        <v>Wind (SRV)</v>
      </c>
      <c r="F34" s="9" t="s">
        <v>46</v>
      </c>
      <c r="G34" t="s">
        <v>155</v>
      </c>
      <c r="H34"/>
      <c r="I34"/>
      <c r="J34"/>
    </row>
    <row r="35" spans="2:15">
      <c r="B35" s="9" t="s">
        <v>21</v>
      </c>
      <c r="C35" s="9" t="str">
        <f>_xlfn.TEXTJOIN(",",TRUE,IF(LEFT(Regions!$C$3,1)&lt;&gt;"*",Regions!$C$3,""),IF(LEFT(Regions!$D$3,1)&lt;&gt;"*",Regions!$D$3,""))</f>
        <v>IE,National</v>
      </c>
      <c r="D35" s="9" t="str">
        <f>Legend!C48</f>
        <v>SRVH2G</v>
      </c>
      <c r="E35" s="9" t="str">
        <f>Legend!A48&amp;" (SRV)"</f>
        <v>Hydrogen (gaseous) (SRV)</v>
      </c>
      <c r="F35" s="9" t="s">
        <v>46</v>
      </c>
      <c r="G35" s="9" t="s">
        <v>155</v>
      </c>
    </row>
    <row r="36" spans="2:15">
      <c r="B36" s="9" t="s">
        <v>21</v>
      </c>
      <c r="C36" s="9" t="str">
        <f>_xlfn.TEXTJOIN(",",TRUE,IF(LEFT(Regions!$C$3,1)&lt;&gt;"*",Regions!$C$3,""),IF(LEFT(Regions!$D$3,1)&lt;&gt;"*",Regions!$D$3,""))</f>
        <v>IE,National</v>
      </c>
      <c r="D36" s="9" t="str">
        <f>Legend!C49</f>
        <v>SRVH2L</v>
      </c>
      <c r="E36" s="9" t="str">
        <f>Legend!A49&amp;" (SRV)"</f>
        <v>Hydrogen (liquid) (SRV)</v>
      </c>
      <c r="F36" s="9" t="s">
        <v>46</v>
      </c>
      <c r="G36" t="s">
        <v>155</v>
      </c>
      <c r="H36"/>
      <c r="I36"/>
      <c r="J36"/>
    </row>
    <row r="37" spans="2:15">
      <c r="B37" s="14" t="s">
        <v>21</v>
      </c>
      <c r="C37" s="14" t="str">
        <f>_xlfn.TEXTJOIN(",",TRUE,IF(LEFT(Regions!$C$3,1)&lt;&gt;"*",Regions!$C$3,""),IF(LEFT(Regions!$D$3,1)&lt;&gt;"*",Regions!$D$3,""))</f>
        <v>IE,National</v>
      </c>
      <c r="D37" s="14" t="str">
        <f>Legend!C50</f>
        <v>SRVBDL</v>
      </c>
      <c r="E37" s="14" t="str">
        <f>Legend!A50&amp;" (SRV)"</f>
        <v>Biodiesel (SRV)</v>
      </c>
      <c r="F37" s="14" t="s">
        <v>46</v>
      </c>
      <c r="G37" s="73" t="s">
        <v>155</v>
      </c>
      <c r="H37" s="73"/>
      <c r="I37" s="73"/>
      <c r="J37" s="73"/>
    </row>
    <row r="38" spans="2:15">
      <c r="B38" s="272" t="s">
        <v>26</v>
      </c>
      <c r="C38" s="9" t="str">
        <f>_xlfn.TEXTJOIN(",",TRUE,IF(LEFT(Regions!$C$3,1)&lt;&gt;"*",Regions!$C$3,""),IF(LEFT(Regions!$D$3,1)&lt;&gt;"*",Regions!$D$3,""))</f>
        <v>IE,National</v>
      </c>
      <c r="D38" s="5" t="s">
        <v>521</v>
      </c>
      <c r="E38" t="s">
        <v>532</v>
      </c>
      <c r="F38" s="272" t="s">
        <v>533</v>
      </c>
      <c r="G38" s="272"/>
      <c r="H38" s="272"/>
      <c r="I38" s="272"/>
      <c r="J38" s="272"/>
    </row>
    <row r="39" spans="2:15">
      <c r="B39" s="9" t="s">
        <v>26</v>
      </c>
      <c r="C39" s="9" t="str">
        <f>_xlfn.TEXTJOIN(",",TRUE,IF(LEFT(Regions!$C$3,1)&lt;&gt;"*",Regions!$C$3,""),IF(LEFT(Regions!$D$3,1)&lt;&gt;"*",Regions!$D$3,""))</f>
        <v>IE,National</v>
      </c>
      <c r="D39" s="5" t="s">
        <v>522</v>
      </c>
      <c r="E39" t="s">
        <v>527</v>
      </c>
      <c r="F39" t="s">
        <v>533</v>
      </c>
      <c r="G39"/>
      <c r="H39"/>
      <c r="I39"/>
      <c r="J39"/>
    </row>
    <row r="40" spans="2:15">
      <c r="B40" s="9" t="s">
        <v>26</v>
      </c>
      <c r="C40" s="9" t="str">
        <f>_xlfn.TEXTJOIN(",",TRUE,IF(LEFT(Regions!$C$3,1)&lt;&gt;"*",Regions!$C$3,""),IF(LEFT(Regions!$D$3,1)&lt;&gt;"*",Regions!$D$3,""))</f>
        <v>IE,National</v>
      </c>
      <c r="D40" s="5" t="s">
        <v>523</v>
      </c>
      <c r="E40" t="s">
        <v>528</v>
      </c>
      <c r="F40" t="s">
        <v>533</v>
      </c>
    </row>
    <row r="41" spans="2:15">
      <c r="B41" s="9" t="s">
        <v>26</v>
      </c>
      <c r="C41" s="9" t="str">
        <f>_xlfn.TEXTJOIN(",",TRUE,IF(LEFT(Regions!$C$3,1)&lt;&gt;"*",Regions!$C$3,""),IF(LEFT(Regions!$D$3,1)&lt;&gt;"*",Regions!$D$3,""))</f>
        <v>IE,National</v>
      </c>
      <c r="D41" s="5" t="s">
        <v>524</v>
      </c>
      <c r="E41" t="s">
        <v>529</v>
      </c>
      <c r="F41" t="s">
        <v>533</v>
      </c>
    </row>
    <row r="42" spans="2:15">
      <c r="B42" s="9" t="s">
        <v>26</v>
      </c>
      <c r="C42" s="9" t="str">
        <f>_xlfn.TEXTJOIN(",",TRUE,IF(LEFT(Regions!$C$3,1)&lt;&gt;"*",Regions!$C$3,""),IF(LEFT(Regions!$D$3,1)&lt;&gt;"*",Regions!$D$3,""))</f>
        <v>IE,National</v>
      </c>
      <c r="D42" s="5" t="s">
        <v>525</v>
      </c>
      <c r="E42" t="s">
        <v>530</v>
      </c>
      <c r="F42" t="s">
        <v>533</v>
      </c>
    </row>
    <row r="43" spans="2:15">
      <c r="B43" s="14" t="s">
        <v>26</v>
      </c>
      <c r="C43" s="14" t="str">
        <f>_xlfn.TEXTJOIN(",",TRUE,IF(LEFT(Regions!$C$3,1)&lt;&gt;"*",Regions!$C$3,""),IF(LEFT(Regions!$D$3,1)&lt;&gt;"*",Regions!$D$3,""))</f>
        <v>IE,National</v>
      </c>
      <c r="D43" s="10" t="s">
        <v>526</v>
      </c>
      <c r="E43" s="73" t="s">
        <v>531</v>
      </c>
      <c r="F43" s="73" t="s">
        <v>533</v>
      </c>
      <c r="G43" s="14"/>
      <c r="H43" s="14"/>
      <c r="I43" s="14"/>
      <c r="J43" s="14"/>
    </row>
    <row r="44" spans="2:15">
      <c r="D44" s="5"/>
      <c r="E44"/>
      <c r="F44"/>
    </row>
    <row r="45" spans="2:15">
      <c r="L45" s="2"/>
      <c r="M45" s="2"/>
      <c r="N45" s="2"/>
      <c r="O45" s="2"/>
    </row>
    <row r="46" spans="2:15">
      <c r="L46" s="2"/>
      <c r="M46" s="2"/>
      <c r="N46" s="2"/>
      <c r="O46" s="2"/>
    </row>
    <row r="47" spans="2:15">
      <c r="L47" s="2"/>
      <c r="M47" s="2"/>
      <c r="N47" s="2"/>
      <c r="O47" s="2"/>
    </row>
    <row r="48" spans="2:15">
      <c r="L48" s="2"/>
      <c r="M48" s="2"/>
      <c r="N48" s="2"/>
      <c r="O48" s="2"/>
    </row>
    <row r="49" spans="12:15">
      <c r="L49" s="2"/>
      <c r="M49" s="2"/>
      <c r="N49" s="2"/>
      <c r="O49" s="2"/>
    </row>
    <row r="50" spans="12:15">
      <c r="L50" s="2"/>
      <c r="M50" s="2"/>
      <c r="N50" s="2"/>
      <c r="O50" s="2"/>
    </row>
    <row r="52" spans="12:15">
      <c r="L52" s="2"/>
      <c r="M52" s="2"/>
      <c r="N52" s="2"/>
      <c r="O52" s="2"/>
    </row>
    <row r="53" spans="12:15">
      <c r="L53" s="2"/>
      <c r="M53" s="2"/>
      <c r="N53" s="2"/>
      <c r="O53" s="2"/>
    </row>
    <row r="54" spans="12:15">
      <c r="L54" s="2"/>
      <c r="M54" s="2"/>
      <c r="N54" s="2"/>
      <c r="O54" s="2"/>
    </row>
    <row r="55" spans="12:15">
      <c r="L55" s="2"/>
      <c r="M55" s="2"/>
      <c r="N55" s="2"/>
      <c r="O55" s="2"/>
    </row>
    <row r="56" spans="12:15">
      <c r="L56" s="2"/>
      <c r="M56" s="2"/>
      <c r="N56" s="2"/>
      <c r="O56" s="2"/>
    </row>
    <row r="57" spans="12:15">
      <c r="L57" s="2"/>
      <c r="M57" s="2"/>
      <c r="N57" s="2"/>
      <c r="O57" s="2"/>
    </row>
    <row r="58" spans="12:15">
      <c r="L58" s="2"/>
      <c r="M58" s="2"/>
      <c r="N58" s="2"/>
      <c r="O58" s="2"/>
    </row>
    <row r="59" spans="12:15">
      <c r="L59" s="2"/>
      <c r="M59" s="2"/>
      <c r="N59" s="2"/>
      <c r="O59" s="2"/>
    </row>
    <row r="60" spans="12:15">
      <c r="L60" s="2"/>
      <c r="M60" s="2"/>
      <c r="N60" s="2"/>
      <c r="O60" s="2"/>
    </row>
    <row r="61" spans="12:15">
      <c r="L61" s="2"/>
      <c r="M61" s="2"/>
      <c r="N61" s="2"/>
      <c r="O61" s="2"/>
    </row>
    <row r="62" spans="12:15">
      <c r="L62" s="2"/>
      <c r="M62" s="2"/>
      <c r="N62" s="2"/>
      <c r="O62" s="2"/>
    </row>
    <row r="63" spans="12:15">
      <c r="L63" s="2"/>
      <c r="M63" s="2"/>
      <c r="N63" s="2"/>
      <c r="O63" s="2"/>
    </row>
    <row r="64" spans="12:15">
      <c r="L64" s="2"/>
      <c r="M64" s="2"/>
      <c r="N64" s="2"/>
      <c r="O64" s="2"/>
    </row>
    <row r="65" spans="12:15">
      <c r="L65" s="2"/>
      <c r="M65" s="2"/>
      <c r="N65" s="2"/>
      <c r="O65" s="2"/>
    </row>
    <row r="66" spans="12:15">
      <c r="L66" s="2"/>
      <c r="M66" s="2"/>
      <c r="N66" s="2"/>
      <c r="O66" s="2"/>
    </row>
    <row r="67" spans="12:15">
      <c r="L67" s="2"/>
      <c r="M67" s="2"/>
      <c r="N67" s="2"/>
      <c r="O67" s="2"/>
    </row>
    <row r="68" spans="12:15">
      <c r="L68" s="2"/>
      <c r="M68" s="2"/>
      <c r="N68" s="2"/>
      <c r="O68" s="2"/>
    </row>
    <row r="69" spans="12:15">
      <c r="L69" s="2"/>
      <c r="M69" s="2"/>
      <c r="N69" s="2"/>
      <c r="O69" s="2"/>
    </row>
    <row r="70" spans="12:15">
      <c r="L70" s="2"/>
      <c r="M70" s="2"/>
      <c r="N70" s="2"/>
      <c r="O70" s="2"/>
    </row>
    <row r="71" spans="12:15">
      <c r="L71" s="2"/>
      <c r="M71" s="2"/>
      <c r="N71" s="2"/>
      <c r="O71" s="2"/>
    </row>
    <row r="72" spans="12:15">
      <c r="L72" s="2"/>
      <c r="M72" s="2"/>
      <c r="N72" s="2"/>
      <c r="O72" s="2"/>
    </row>
    <row r="73" spans="12:15">
      <c r="L73" s="2"/>
      <c r="M73" s="2"/>
      <c r="N73" s="2"/>
      <c r="O73" s="2"/>
    </row>
    <row r="74" spans="12:15">
      <c r="L74" s="2"/>
      <c r="M74" s="2"/>
      <c r="N74" s="2"/>
      <c r="O74" s="2"/>
    </row>
    <row r="75" spans="12:15">
      <c r="L75" s="2"/>
      <c r="M75" s="2"/>
      <c r="N75" s="2"/>
      <c r="O75" s="2"/>
    </row>
    <row r="76" spans="12:15">
      <c r="L76" s="2"/>
      <c r="M76" s="2"/>
      <c r="N76" s="2"/>
      <c r="O76" s="2"/>
    </row>
    <row r="77" spans="12:15">
      <c r="L77" s="2"/>
      <c r="M77" s="2"/>
      <c r="N77" s="2"/>
      <c r="O77" s="2"/>
    </row>
    <row r="78" spans="12:15">
      <c r="L78" s="2"/>
      <c r="M78" s="2"/>
      <c r="N78" s="2"/>
      <c r="O78" s="2"/>
    </row>
    <row r="79" spans="12:15">
      <c r="L79" s="2"/>
      <c r="M79" s="2"/>
      <c r="N79" s="2"/>
      <c r="O79" s="2"/>
    </row>
    <row r="80" spans="12:15">
      <c r="L80" s="2"/>
      <c r="M80" s="2"/>
      <c r="N80" s="2"/>
      <c r="O80" s="2"/>
    </row>
    <row r="81" spans="12:15">
      <c r="L81" s="2"/>
      <c r="M81" s="2"/>
      <c r="N81" s="2"/>
      <c r="O81" s="2"/>
    </row>
    <row r="82" spans="12:15">
      <c r="L82" s="2"/>
      <c r="M82" s="2"/>
      <c r="N82" s="2"/>
      <c r="O82" s="2"/>
    </row>
    <row r="83" spans="12:15">
      <c r="L83" s="2"/>
      <c r="M83" s="2"/>
      <c r="N83" s="2"/>
      <c r="O83" s="2"/>
    </row>
    <row r="84" spans="12:15">
      <c r="L84" s="2"/>
      <c r="M84" s="2"/>
      <c r="N84" s="2"/>
      <c r="O84" s="2"/>
    </row>
    <row r="85" spans="12:15">
      <c r="L85" s="2"/>
      <c r="M85" s="2"/>
      <c r="N85" s="2"/>
      <c r="O85" s="2"/>
    </row>
    <row r="86" spans="12:15">
      <c r="L86" s="2"/>
      <c r="M86" s="2"/>
      <c r="N86" s="2"/>
      <c r="O86" s="2"/>
    </row>
    <row r="87" spans="12:15">
      <c r="L87" s="2"/>
      <c r="M87" s="2"/>
      <c r="N87" s="2"/>
      <c r="O87" s="2"/>
    </row>
    <row r="88" spans="12:15">
      <c r="L88" s="2"/>
      <c r="M88" s="2"/>
      <c r="N88" s="2"/>
      <c r="O88" s="2"/>
    </row>
    <row r="89" spans="12:15">
      <c r="L89" s="2"/>
      <c r="M89" s="2"/>
      <c r="N89" s="2"/>
      <c r="O89" s="2"/>
    </row>
    <row r="90" spans="12:15">
      <c r="L90" s="2"/>
      <c r="M90" s="2"/>
      <c r="N90" s="2"/>
      <c r="O90" s="2"/>
    </row>
    <row r="91" spans="12:15">
      <c r="L91" s="2"/>
      <c r="M91" s="2"/>
      <c r="N91" s="2"/>
      <c r="O91" s="2"/>
    </row>
    <row r="92" spans="12:15">
      <c r="L92" s="2"/>
      <c r="M92" s="2"/>
      <c r="N92" s="2"/>
      <c r="O92" s="2"/>
    </row>
    <row r="93" spans="12:15">
      <c r="L93" s="2"/>
      <c r="M93" s="2"/>
      <c r="N93" s="2"/>
      <c r="O93" s="2"/>
    </row>
    <row r="94" spans="12:15">
      <c r="L94" s="2"/>
      <c r="M94" s="2"/>
      <c r="N94" s="2"/>
      <c r="O94" s="2"/>
    </row>
    <row r="95" spans="12:15">
      <c r="L95" s="2"/>
      <c r="M95" s="2"/>
      <c r="N95" s="2"/>
      <c r="O95" s="2"/>
    </row>
    <row r="96" spans="12:15">
      <c r="L96" s="2"/>
      <c r="M96" s="2"/>
      <c r="N96" s="2"/>
      <c r="O96" s="2"/>
    </row>
    <row r="97" spans="12:15">
      <c r="L97" s="2"/>
      <c r="M97" s="2"/>
      <c r="N97" s="2"/>
      <c r="O97" s="2"/>
    </row>
    <row r="98" spans="12:15">
      <c r="L98" s="2"/>
      <c r="M98" s="2"/>
      <c r="N98" s="2"/>
      <c r="O9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9" tint="0.59999389629810485"/>
  </sheetPr>
  <dimension ref="A1:V22"/>
  <sheetViews>
    <sheetView tabSelected="1" zoomScaleNormal="100" workbookViewId="0">
      <selection activeCell="H18" sqref="H18"/>
    </sheetView>
  </sheetViews>
  <sheetFormatPr defaultColWidth="9.1796875" defaultRowHeight="14.5"/>
  <cols>
    <col min="1" max="1" width="2" style="9" bestFit="1" customWidth="1"/>
    <col min="2" max="2" width="13.26953125" style="9" customWidth="1"/>
    <col min="3" max="3" width="26.453125" style="9" bestFit="1" customWidth="1"/>
    <col min="4" max="4" width="12.453125" style="9" customWidth="1"/>
    <col min="5" max="5" width="9.1796875" style="9"/>
    <col min="6" max="6" width="10.453125" style="9" bestFit="1" customWidth="1"/>
    <col min="7" max="13" width="9.1796875" style="9"/>
    <col min="14" max="14" width="11.7265625" style="9" customWidth="1"/>
    <col min="15" max="15" width="12.1796875" style="9" bestFit="1" customWidth="1"/>
    <col min="16" max="16" width="15.1796875" style="9" customWidth="1"/>
    <col min="17" max="17" width="45.7265625" style="9" bestFit="1" customWidth="1"/>
    <col min="18" max="22" width="9.1796875" style="9"/>
    <col min="23" max="16384" width="9.1796875" style="5"/>
  </cols>
  <sheetData>
    <row r="1" spans="2:22" ht="23.5">
      <c r="B1" s="20" t="s">
        <v>85</v>
      </c>
    </row>
    <row r="2" spans="2:22">
      <c r="B2" s="40" t="s">
        <v>86</v>
      </c>
      <c r="N2" s="35" t="s">
        <v>13</v>
      </c>
      <c r="O2" s="35"/>
      <c r="P2" s="40"/>
      <c r="Q2" s="36"/>
      <c r="R2" s="36"/>
      <c r="S2" s="36"/>
      <c r="T2" s="36"/>
      <c r="U2" s="36"/>
    </row>
    <row r="3" spans="2:22" ht="15" thickBot="1">
      <c r="B3" s="21" t="str">
        <f t="shared" ref="B3:B7" si="0">P3</f>
        <v>TechName</v>
      </c>
      <c r="C3" s="21" t="s">
        <v>22</v>
      </c>
      <c r="D3" s="21" t="s">
        <v>23</v>
      </c>
      <c r="E3" s="21" t="s">
        <v>87</v>
      </c>
      <c r="F3" s="21" t="s">
        <v>575</v>
      </c>
      <c r="G3" s="21" t="s">
        <v>576</v>
      </c>
      <c r="H3" s="603" t="s">
        <v>624</v>
      </c>
      <c r="I3" s="603" t="s">
        <v>625</v>
      </c>
      <c r="J3" s="603" t="s">
        <v>626</v>
      </c>
      <c r="K3" s="603" t="s">
        <v>142</v>
      </c>
      <c r="L3" s="603" t="s">
        <v>627</v>
      </c>
      <c r="N3" s="21" t="s">
        <v>14</v>
      </c>
      <c r="O3" s="21" t="s">
        <v>520</v>
      </c>
      <c r="P3" s="21" t="s">
        <v>4</v>
      </c>
      <c r="Q3" s="21" t="s">
        <v>15</v>
      </c>
      <c r="R3" s="21" t="s">
        <v>16</v>
      </c>
      <c r="S3" s="21" t="s">
        <v>17</v>
      </c>
      <c r="T3" s="21" t="s">
        <v>18</v>
      </c>
      <c r="U3" s="21" t="s">
        <v>19</v>
      </c>
      <c r="V3" s="41" t="s">
        <v>20</v>
      </c>
    </row>
    <row r="4" spans="2:22" ht="52">
      <c r="B4" s="39" t="s">
        <v>125</v>
      </c>
      <c r="C4" s="39" t="s">
        <v>126</v>
      </c>
      <c r="D4" s="39" t="s">
        <v>127</v>
      </c>
      <c r="E4" s="37" t="s">
        <v>129</v>
      </c>
      <c r="F4" s="37" t="s">
        <v>578</v>
      </c>
      <c r="G4" s="37" t="s">
        <v>577</v>
      </c>
      <c r="H4" s="59"/>
      <c r="I4" s="59"/>
      <c r="J4" s="59"/>
      <c r="K4" s="59"/>
      <c r="L4" s="59"/>
      <c r="N4" s="37" t="s">
        <v>115</v>
      </c>
      <c r="O4" s="37" t="s">
        <v>534</v>
      </c>
      <c r="P4" s="37" t="s">
        <v>116</v>
      </c>
      <c r="Q4" s="37" t="s">
        <v>89</v>
      </c>
      <c r="R4" s="37" t="s">
        <v>117</v>
      </c>
      <c r="S4" s="37" t="s">
        <v>118</v>
      </c>
      <c r="T4" s="37" t="s">
        <v>119</v>
      </c>
      <c r="U4" s="39" t="s">
        <v>120</v>
      </c>
      <c r="V4" s="39" t="s">
        <v>121</v>
      </c>
    </row>
    <row r="5" spans="2:22">
      <c r="B5" s="9" t="str">
        <f t="shared" si="0"/>
        <v>FT-SRVCOA</v>
      </c>
      <c r="C5" s="9" t="s">
        <v>547</v>
      </c>
      <c r="D5" s="9" t="str">
        <f>Legend!C36</f>
        <v>SRVCOA</v>
      </c>
      <c r="E5" s="9">
        <v>1</v>
      </c>
      <c r="N5" s="36" t="s">
        <v>24</v>
      </c>
      <c r="O5" s="36" t="str">
        <f>_xlfn.TEXTJOIN(",",TRUE,IF(LEFT(Regions!$C$3,1)&lt;&gt;"*",Regions!$C$3,""),IF(LEFT(Regions!$D$3,1)&lt;&gt;"*",Regions!$D$3,""))</f>
        <v>IE,National</v>
      </c>
      <c r="P5" s="36" t="str">
        <f>"FT-"&amp;D5</f>
        <v>FT-SRVCOA</v>
      </c>
      <c r="Q5" s="36" t="str">
        <f>"Fuel Tech - "&amp;Legend!A36</f>
        <v>Fuel Tech - Solids</v>
      </c>
      <c r="R5" s="36" t="s">
        <v>46</v>
      </c>
      <c r="S5" s="36" t="s">
        <v>582</v>
      </c>
      <c r="T5" s="36"/>
      <c r="U5" s="36"/>
    </row>
    <row r="6" spans="2:22">
      <c r="B6" s="9" t="str">
        <f t="shared" si="0"/>
        <v>FT-SRVLPG</v>
      </c>
      <c r="C6" s="9" t="s">
        <v>94</v>
      </c>
      <c r="D6" s="9" t="str">
        <f>Legend!C37</f>
        <v>SRVLPG</v>
      </c>
      <c r="E6" s="9">
        <v>1</v>
      </c>
      <c r="N6" s="36" t="s">
        <v>24</v>
      </c>
      <c r="O6" s="36" t="str">
        <f>_xlfn.TEXTJOIN(",",TRUE,IF(LEFT(Regions!$C$3,1)&lt;&gt;"*",Regions!$C$3,""),IF(LEFT(Regions!$D$3,1)&lt;&gt;"*",Regions!$D$3,""))</f>
        <v>IE,National</v>
      </c>
      <c r="P6" s="36" t="str">
        <f t="shared" ref="P6:P7" si="1">"FT-"&amp;D6</f>
        <v>FT-SRVLPG</v>
      </c>
      <c r="Q6" s="36" t="str">
        <f>"Fuel Tech - "&amp;Legend!A37</f>
        <v>Fuel Tech - LPG</v>
      </c>
      <c r="R6" s="36" t="s">
        <v>46</v>
      </c>
      <c r="S6" s="36" t="s">
        <v>582</v>
      </c>
      <c r="T6" s="36"/>
      <c r="U6" s="36"/>
    </row>
    <row r="7" spans="2:22">
      <c r="B7" s="9" t="str">
        <f t="shared" si="0"/>
        <v>FT-SRVOIL</v>
      </c>
      <c r="C7" s="9" t="s">
        <v>548</v>
      </c>
      <c r="D7" s="9" t="str">
        <f>Legend!C38</f>
        <v>SRVOIL</v>
      </c>
      <c r="E7" s="9">
        <v>1</v>
      </c>
      <c r="F7" s="60">
        <f>EB_SRV!R5*Legend!$B$65/EB_SRV!$F$12</f>
        <v>0.36629150481729045</v>
      </c>
      <c r="G7" s="9">
        <v>5</v>
      </c>
      <c r="N7" s="36" t="s">
        <v>24</v>
      </c>
      <c r="O7" s="36" t="str">
        <f>_xlfn.TEXTJOIN(",",TRUE,IF(LEFT(Regions!$C$3,1)&lt;&gt;"*",Regions!$C$3,""),IF(LEFT(Regions!$D$3,1)&lt;&gt;"*",Regions!$D$3,""))</f>
        <v>IE,National</v>
      </c>
      <c r="P7" s="36" t="str">
        <f t="shared" si="1"/>
        <v>FT-SRVOIL</v>
      </c>
      <c r="Q7" s="36" t="str">
        <f>"Fuel Tech - "&amp;Legend!A38</f>
        <v>Fuel Tech - Oil</v>
      </c>
      <c r="R7" s="36" t="s">
        <v>46</v>
      </c>
      <c r="S7" s="36" t="s">
        <v>582</v>
      </c>
      <c r="T7" s="36"/>
      <c r="U7" s="36"/>
    </row>
    <row r="8" spans="2:22">
      <c r="C8" s="9" t="s">
        <v>579</v>
      </c>
      <c r="F8" s="60">
        <f>EB_SRV!V5*Legend!$B$65/EB_SRV!$F$12</f>
        <v>0.62988506832194235</v>
      </c>
      <c r="G8" s="9">
        <v>5</v>
      </c>
      <c r="N8" s="36" t="s">
        <v>24</v>
      </c>
      <c r="O8" s="36" t="str">
        <f>_xlfn.TEXTJOIN(",",TRUE,IF(LEFT(Regions!$C$3,1)&lt;&gt;"*",Regions!$C$3,""),IF(LEFT(Regions!$D$3,1)&lt;&gt;"*",Regions!$D$3,""))</f>
        <v>IE,National</v>
      </c>
      <c r="P8" s="36" t="str">
        <f t="shared" ref="P8:P13" si="2">"FT-"&amp;D10</f>
        <v>FT-SRVGAS</v>
      </c>
      <c r="Q8" s="36" t="str">
        <f>"Fuel Tech - "&amp;Legend!A39</f>
        <v>Fuel Tech - Natural Gas</v>
      </c>
      <c r="R8" s="36" t="s">
        <v>46</v>
      </c>
      <c r="S8" s="36" t="s">
        <v>582</v>
      </c>
      <c r="T8" s="36"/>
      <c r="U8" s="36"/>
    </row>
    <row r="9" spans="2:22">
      <c r="C9" s="9" t="s">
        <v>580</v>
      </c>
      <c r="F9" s="60">
        <f>EB_SRV!T5*Legend!$B$65/EB_SRV!$F$12</f>
        <v>3.8234268607672522E-3</v>
      </c>
      <c r="G9" s="9">
        <v>5</v>
      </c>
      <c r="N9" s="36" t="s">
        <v>24</v>
      </c>
      <c r="O9" s="36" t="str">
        <f>_xlfn.TEXTJOIN(",",TRUE,IF(LEFT(Regions!$C$3,1)&lt;&gt;"*",Regions!$C$3,""),IF(LEFT(Regions!$D$3,1)&lt;&gt;"*",Regions!$D$3,""))</f>
        <v>IE,National</v>
      </c>
      <c r="P9" s="36" t="str">
        <f t="shared" si="2"/>
        <v>FT-SRVBIO</v>
      </c>
      <c r="Q9" s="36" t="str">
        <f>"Fuel Tech - "&amp;Legend!A40</f>
        <v>Fuel Tech - Biomass</v>
      </c>
      <c r="R9" s="36" t="s">
        <v>46</v>
      </c>
      <c r="S9" s="36" t="s">
        <v>582</v>
      </c>
      <c r="T9" s="36"/>
      <c r="U9" s="36"/>
    </row>
    <row r="10" spans="2:22">
      <c r="B10" s="9" t="str">
        <f t="shared" ref="B10:B15" si="3">P8</f>
        <v>FT-SRVGAS</v>
      </c>
      <c r="C10" s="9" t="s">
        <v>93</v>
      </c>
      <c r="D10" s="9" t="str">
        <f>Legend!C39</f>
        <v>SRVGAS</v>
      </c>
      <c r="E10" s="9">
        <v>1</v>
      </c>
      <c r="H10" s="9">
        <v>50</v>
      </c>
      <c r="I10" s="9">
        <f>+H10*0.05</f>
        <v>2.5</v>
      </c>
      <c r="J10" s="9">
        <v>30</v>
      </c>
      <c r="K10" s="9">
        <v>0.35</v>
      </c>
      <c r="L10" s="9">
        <v>31.536000000000001</v>
      </c>
      <c r="N10" s="36" t="s">
        <v>24</v>
      </c>
      <c r="O10" s="36" t="str">
        <f>_xlfn.TEXTJOIN(",",TRUE,IF(LEFT(Regions!$C$3,1)&lt;&gt;"*",Regions!$C$3,""),IF(LEFT(Regions!$D$3,1)&lt;&gt;"*",Regions!$D$3,""))</f>
        <v>IE,National</v>
      </c>
      <c r="P10" s="36" t="str">
        <f t="shared" si="2"/>
        <v>FT-SRVBGS</v>
      </c>
      <c r="Q10" s="36" t="str">
        <f>"Fuel Tech - "&amp;Legend!A41</f>
        <v>Fuel Tech - Biogas</v>
      </c>
      <c r="R10" s="36" t="s">
        <v>46</v>
      </c>
      <c r="S10" s="36" t="s">
        <v>582</v>
      </c>
      <c r="T10" s="36"/>
      <c r="U10" s="36"/>
    </row>
    <row r="11" spans="2:22">
      <c r="B11" s="9" t="str">
        <f t="shared" si="3"/>
        <v>FT-SRVBIO</v>
      </c>
      <c r="C11" s="9" t="s">
        <v>549</v>
      </c>
      <c r="D11" s="9" t="str">
        <f>Legend!C40</f>
        <v>SRVBIO</v>
      </c>
      <c r="E11" s="9">
        <v>1</v>
      </c>
      <c r="N11" s="36" t="s">
        <v>24</v>
      </c>
      <c r="O11" s="36" t="str">
        <f>_xlfn.TEXTJOIN(",",TRUE,IF(LEFT(Regions!$C$3,1)&lt;&gt;"*",Regions!$C$3,""),IF(LEFT(Regions!$D$3,1)&lt;&gt;"*",Regions!$D$3,""))</f>
        <v>IE,National</v>
      </c>
      <c r="P11" s="36" t="str">
        <f t="shared" si="2"/>
        <v>FT-SRVSOL</v>
      </c>
      <c r="Q11" s="36" t="str">
        <f>"Fuel Tech - "&amp;Legend!A42</f>
        <v>Fuel Tech - Solar</v>
      </c>
      <c r="R11" s="36" t="s">
        <v>46</v>
      </c>
      <c r="S11" s="36" t="s">
        <v>582</v>
      </c>
      <c r="T11" s="36"/>
      <c r="U11" s="36"/>
    </row>
    <row r="12" spans="2:22">
      <c r="B12" s="9" t="str">
        <f t="shared" si="3"/>
        <v>FT-SRVBGS</v>
      </c>
      <c r="C12" s="9" t="s">
        <v>553</v>
      </c>
      <c r="D12" s="9" t="str">
        <f>Legend!C41</f>
        <v>SRVBGS</v>
      </c>
      <c r="E12" s="9">
        <v>1</v>
      </c>
      <c r="N12" s="36" t="s">
        <v>24</v>
      </c>
      <c r="O12" s="36" t="str">
        <f>_xlfn.TEXTJOIN(",",TRUE,IF(LEFT(Regions!$C$3,1)&lt;&gt;"*",Regions!$C$3,""),IF(LEFT(Regions!$D$3,1)&lt;&gt;"*",Regions!$D$3,""))</f>
        <v>IE,National</v>
      </c>
      <c r="P12" s="36" t="str">
        <f t="shared" si="2"/>
        <v>FT-SRVELC</v>
      </c>
      <c r="Q12" s="36" t="str">
        <f>"Fuel Tech - "&amp;Legend!A43</f>
        <v>Fuel Tech - Electricity</v>
      </c>
      <c r="R12" s="36" t="s">
        <v>46</v>
      </c>
      <c r="S12" s="36" t="s">
        <v>582</v>
      </c>
      <c r="T12" s="36" t="s">
        <v>88</v>
      </c>
      <c r="U12" s="36"/>
    </row>
    <row r="13" spans="2:22">
      <c r="B13" s="9" t="str">
        <f t="shared" si="3"/>
        <v>FT-SRVSOL</v>
      </c>
      <c r="C13" s="9" t="s">
        <v>544</v>
      </c>
      <c r="D13" s="9" t="str">
        <f>Legend!C42</f>
        <v>SRVSOL</v>
      </c>
      <c r="E13" s="9">
        <v>1</v>
      </c>
      <c r="N13" s="46" t="s">
        <v>24</v>
      </c>
      <c r="O13" s="46" t="str">
        <f>_xlfn.TEXTJOIN(",",TRUE,IF(LEFT(Regions!$C$3,1)&lt;&gt;"*",Regions!$C$3,""),IF(LEFT(Regions!$D$3,1)&lt;&gt;"*",Regions!$D$3,""))</f>
        <v>IE,National</v>
      </c>
      <c r="P13" s="46" t="str">
        <f t="shared" si="2"/>
        <v>FT-SRVAHT</v>
      </c>
      <c r="Q13" s="46" t="str">
        <f>"Fuel Tech - "&amp;Legend!A44</f>
        <v>Fuel Tech - Ambient Heat</v>
      </c>
      <c r="R13" s="46" t="s">
        <v>46</v>
      </c>
      <c r="S13" s="46" t="s">
        <v>582</v>
      </c>
      <c r="T13" s="46"/>
      <c r="U13" s="46"/>
      <c r="V13" s="14"/>
    </row>
    <row r="14" spans="2:22">
      <c r="B14" s="9" t="str">
        <f t="shared" si="3"/>
        <v>FT-SRVELC</v>
      </c>
      <c r="C14" s="9" t="s">
        <v>552</v>
      </c>
      <c r="D14" s="9" t="str">
        <f>Legend!C43</f>
        <v>SRVELC</v>
      </c>
      <c r="E14" s="9">
        <v>1</v>
      </c>
      <c r="H14" s="9">
        <v>200</v>
      </c>
      <c r="I14" s="9">
        <f>+H14*0.05</f>
        <v>10</v>
      </c>
      <c r="J14" s="9">
        <v>50</v>
      </c>
      <c r="K14" s="9">
        <v>0.35</v>
      </c>
      <c r="L14" s="9">
        <v>31.536000000000001</v>
      </c>
      <c r="N14" s="36" t="s">
        <v>24</v>
      </c>
      <c r="O14" s="36" t="str">
        <f>_xlfn.TEXTJOIN(",",TRUE,IF(LEFT(Regions!$C$3,1)&lt;&gt;"*",Regions!$C$3,""),IF(LEFT(Regions!$D$3,1)&lt;&gt;"*",Regions!$D$3,""))</f>
        <v>IE,National</v>
      </c>
      <c r="P14" s="36" t="str">
        <f t="shared" ref="P14:P19" si="4">"FT-"&amp;D17</f>
        <v>FT-SRVHET</v>
      </c>
      <c r="Q14" s="36" t="str">
        <f>"Fuel Tech - "&amp;Legend!A46</f>
        <v>Fuel Tech - District heating</v>
      </c>
      <c r="R14" s="36" t="s">
        <v>46</v>
      </c>
      <c r="S14" s="36" t="s">
        <v>582</v>
      </c>
      <c r="T14" s="36" t="s">
        <v>88</v>
      </c>
      <c r="U14" s="36"/>
    </row>
    <row r="15" spans="2:22">
      <c r="B15" s="9" t="str">
        <f t="shared" si="3"/>
        <v>FT-SRVAHT</v>
      </c>
      <c r="C15" s="9" t="s">
        <v>545</v>
      </c>
      <c r="D15" s="9" t="str">
        <f>Legend!C44</f>
        <v>SRVAHT</v>
      </c>
      <c r="E15" s="9">
        <v>1</v>
      </c>
      <c r="N15" s="36" t="s">
        <v>24</v>
      </c>
      <c r="O15" s="36" t="str">
        <f>_xlfn.TEXTJOIN(",",TRUE,IF(LEFT(Regions!$C$3,1)&lt;&gt;"*",Regions!$C$3,""),IF(LEFT(Regions!$D$3,1)&lt;&gt;"*",Regions!$D$3,""))</f>
        <v>IE,National</v>
      </c>
      <c r="P15" s="36" t="str">
        <f t="shared" si="4"/>
        <v>FT-SRVWIN</v>
      </c>
      <c r="Q15" s="36" t="str">
        <f>"Fuel Tech - "&amp;Legend!A47</f>
        <v>Fuel Tech - Wind</v>
      </c>
      <c r="R15" s="36" t="s">
        <v>46</v>
      </c>
      <c r="S15" s="36" t="s">
        <v>582</v>
      </c>
      <c r="T15" s="36"/>
      <c r="U15" s="36"/>
    </row>
    <row r="16" spans="2:22">
      <c r="D16" s="9" t="str">
        <f>Legend!C45</f>
        <v>SRVAHT2</v>
      </c>
      <c r="N16" s="36" t="s">
        <v>24</v>
      </c>
      <c r="O16" s="36" t="str">
        <f>_xlfn.TEXTJOIN(",",TRUE,IF(LEFT(Regions!$C$3,1)&lt;&gt;"*",Regions!$C$3,""),IF(LEFT(Regions!$D$3,1)&lt;&gt;"*",Regions!$D$3,""))</f>
        <v>IE,National</v>
      </c>
      <c r="P16" s="36" t="str">
        <f t="shared" si="4"/>
        <v>FT-SRVH2G</v>
      </c>
      <c r="Q16" s="36" t="str">
        <f>"Fuel Tech - "&amp;Legend!A48</f>
        <v>Fuel Tech - Hydrogen (gaseous)</v>
      </c>
      <c r="R16" s="36" t="s">
        <v>46</v>
      </c>
      <c r="S16" s="36" t="s">
        <v>582</v>
      </c>
      <c r="T16" s="36"/>
      <c r="U16" s="36"/>
    </row>
    <row r="17" spans="2:22">
      <c r="B17" s="272" t="str">
        <f t="shared" ref="B17:B22" si="5">P14</f>
        <v>FT-SRVHET</v>
      </c>
      <c r="C17" s="272" t="s">
        <v>154</v>
      </c>
      <c r="D17" s="272" t="str">
        <f>Legend!C46</f>
        <v>SRVHET</v>
      </c>
      <c r="E17" s="272">
        <v>1</v>
      </c>
      <c r="F17" s="272"/>
      <c r="G17" s="272"/>
      <c r="H17" s="9">
        <v>50</v>
      </c>
      <c r="I17" s="9">
        <f>+H17*0.05</f>
        <v>2.5</v>
      </c>
      <c r="J17" s="9">
        <v>30</v>
      </c>
      <c r="K17" s="9">
        <v>0.35</v>
      </c>
      <c r="L17" s="9">
        <v>31.536000000000001</v>
      </c>
      <c r="N17" s="36" t="s">
        <v>24</v>
      </c>
      <c r="O17" s="36" t="str">
        <f>_xlfn.TEXTJOIN(",",TRUE,IF(LEFT(Regions!$C$3,1)&lt;&gt;"*",Regions!$C$3,""),IF(LEFT(Regions!$D$3,1)&lt;&gt;"*",Regions!$D$3,""))</f>
        <v>IE,National</v>
      </c>
      <c r="P17" s="36" t="str">
        <f t="shared" si="4"/>
        <v>FT-SRVH2L</v>
      </c>
      <c r="Q17" s="36" t="str">
        <f>"Fuel Tech - "&amp;Legend!A49</f>
        <v>Fuel Tech - Hydrogen (liquid)</v>
      </c>
      <c r="R17" s="36" t="s">
        <v>46</v>
      </c>
      <c r="S17" s="36" t="s">
        <v>582</v>
      </c>
      <c r="T17" s="36"/>
      <c r="U17" s="36"/>
    </row>
    <row r="18" spans="2:22">
      <c r="B18" s="9" t="str">
        <f t="shared" si="5"/>
        <v>FT-SRVWIN</v>
      </c>
      <c r="C18" s="9" t="s">
        <v>554</v>
      </c>
      <c r="D18" s="9" t="str">
        <f>Legend!C47</f>
        <v>SRVWIN</v>
      </c>
      <c r="E18" s="9">
        <v>1</v>
      </c>
      <c r="N18" s="36" t="s">
        <v>24</v>
      </c>
      <c r="O18" s="36" t="str">
        <f>_xlfn.TEXTJOIN(",",TRUE,IF(LEFT(Regions!$C$3,1)&lt;&gt;"*",Regions!$C$3,""),IF(LEFT(Regions!$D$3,1)&lt;&gt;"*",Regions!$D$3,""))</f>
        <v>IE,National</v>
      </c>
      <c r="P18" s="36" t="str">
        <f t="shared" si="4"/>
        <v>FT-SRVBDL</v>
      </c>
      <c r="Q18" s="36" t="str">
        <f>"Fuel Tech - "&amp;Legend!A50</f>
        <v>Fuel Tech - Biodiesel</v>
      </c>
      <c r="R18" s="36" t="s">
        <v>46</v>
      </c>
      <c r="S18" s="36" t="s">
        <v>582</v>
      </c>
      <c r="T18" s="36"/>
      <c r="U18" s="36"/>
    </row>
    <row r="19" spans="2:22">
      <c r="B19" s="9" t="str">
        <f t="shared" si="5"/>
        <v>FT-SRVH2G</v>
      </c>
      <c r="C19" s="9" t="s">
        <v>555</v>
      </c>
      <c r="D19" s="9" t="str">
        <f>Legend!C48</f>
        <v>SRVH2G</v>
      </c>
      <c r="E19" s="9">
        <v>1</v>
      </c>
      <c r="N19" s="46" t="s">
        <v>24</v>
      </c>
      <c r="O19" s="46" t="str">
        <f>_xlfn.TEXTJOIN(",",TRUE,IF(LEFT(Regions!$C$3,1)&lt;&gt;"*",Regions!$C$3,""),IF(LEFT(Regions!$D$3,1)&lt;&gt;"*",Regions!$D$3,""))</f>
        <v>IE,National</v>
      </c>
      <c r="P19" s="46" t="str">
        <f t="shared" si="4"/>
        <v>FT-SRVETH</v>
      </c>
      <c r="Q19" s="46" t="str">
        <f>"Fuel Tech - "&amp;Legend!A51</f>
        <v>Fuel Tech - Ethanol</v>
      </c>
      <c r="R19" s="46" t="s">
        <v>46</v>
      </c>
      <c r="S19" s="46" t="s">
        <v>582</v>
      </c>
      <c r="T19" s="46"/>
      <c r="U19" s="46"/>
      <c r="V19" s="14"/>
    </row>
    <row r="20" spans="2:22">
      <c r="B20" s="9" t="str">
        <f t="shared" si="5"/>
        <v>FT-SRVH2L</v>
      </c>
      <c r="C20" s="9" t="s">
        <v>560</v>
      </c>
      <c r="D20" s="9" t="str">
        <f>Legend!C49</f>
        <v>SRVH2L</v>
      </c>
      <c r="E20" s="9">
        <v>1</v>
      </c>
    </row>
    <row r="21" spans="2:22">
      <c r="B21" s="9" t="str">
        <f t="shared" si="5"/>
        <v>FT-SRVBDL</v>
      </c>
      <c r="C21" s="9" t="s">
        <v>551</v>
      </c>
      <c r="D21" s="9" t="str">
        <f>Legend!C50</f>
        <v>SRVBDL</v>
      </c>
      <c r="E21" s="9">
        <v>1</v>
      </c>
    </row>
    <row r="22" spans="2:22">
      <c r="B22" s="14" t="str">
        <f t="shared" si="5"/>
        <v>FT-SRVETH</v>
      </c>
      <c r="C22" s="14" t="s">
        <v>550</v>
      </c>
      <c r="D22" s="14" t="str">
        <f>Legend!C51</f>
        <v>SRVETH</v>
      </c>
      <c r="E22" s="14">
        <v>1</v>
      </c>
      <c r="F22" s="14"/>
      <c r="G22" s="14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9" tint="0.59999389629810485"/>
  </sheetPr>
  <dimension ref="A1:T29"/>
  <sheetViews>
    <sheetView zoomScale="80" zoomScaleNormal="80" workbookViewId="0">
      <selection activeCell="G6" sqref="G6"/>
    </sheetView>
  </sheetViews>
  <sheetFormatPr defaultColWidth="13.54296875" defaultRowHeight="14.5"/>
  <cols>
    <col min="1" max="1" width="1.7265625" style="19" customWidth="1"/>
    <col min="2" max="2" width="19" style="19" customWidth="1"/>
    <col min="3" max="3" width="41.7265625" style="19" bestFit="1" customWidth="1"/>
    <col min="4" max="4" width="11.453125" style="19" customWidth="1"/>
    <col min="5" max="5" width="12.453125" style="19" customWidth="1"/>
    <col min="6" max="6" width="15.453125" style="19" bestFit="1" customWidth="1"/>
    <col min="7" max="7" width="15.453125" style="19" customWidth="1"/>
    <col min="8" max="10" width="14.81640625" style="19" customWidth="1"/>
    <col min="11" max="11" width="13.54296875" style="19"/>
    <col min="12" max="13" width="13.453125" style="19" customWidth="1"/>
    <col min="14" max="14" width="14.453125" style="19" bestFit="1" customWidth="1"/>
    <col min="15" max="15" width="41.7265625" style="19" bestFit="1" customWidth="1"/>
    <col min="16" max="16" width="13.54296875" style="19"/>
    <col min="17" max="16384" width="13.54296875" style="1"/>
  </cols>
  <sheetData>
    <row r="1" spans="1:20" ht="23.5">
      <c r="B1" s="47" t="s">
        <v>518</v>
      </c>
      <c r="C1" s="47"/>
      <c r="D1" s="47"/>
    </row>
    <row r="2" spans="1:20">
      <c r="B2" s="40" t="s">
        <v>86</v>
      </c>
      <c r="L2" s="35" t="s">
        <v>13</v>
      </c>
      <c r="M2" s="35"/>
      <c r="N2" s="36"/>
      <c r="O2" s="36"/>
      <c r="P2" s="36"/>
      <c r="Q2" s="36"/>
      <c r="R2" s="36"/>
      <c r="S2" s="36"/>
      <c r="T2" s="36"/>
    </row>
    <row r="3" spans="1:20" ht="15" thickBot="1">
      <c r="B3" s="21" t="s">
        <v>4</v>
      </c>
      <c r="C3" s="41" t="s">
        <v>123</v>
      </c>
      <c r="D3" s="21" t="s">
        <v>22</v>
      </c>
      <c r="E3" s="21" t="s">
        <v>23</v>
      </c>
      <c r="F3" s="21" t="s">
        <v>156</v>
      </c>
      <c r="G3" s="21" t="s">
        <v>141</v>
      </c>
      <c r="H3" s="21" t="s">
        <v>585</v>
      </c>
      <c r="I3" s="21" t="s">
        <v>586</v>
      </c>
      <c r="J3" s="21" t="s">
        <v>29</v>
      </c>
      <c r="L3" s="21" t="s">
        <v>14</v>
      </c>
      <c r="M3" s="21" t="s">
        <v>520</v>
      </c>
      <c r="N3" s="21" t="s">
        <v>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</row>
    <row r="4" spans="1:20" ht="39">
      <c r="B4" s="39" t="s">
        <v>125</v>
      </c>
      <c r="C4" s="39" t="s">
        <v>89</v>
      </c>
      <c r="D4" s="39" t="s">
        <v>126</v>
      </c>
      <c r="E4" s="39" t="s">
        <v>127</v>
      </c>
      <c r="F4" s="39" t="s">
        <v>133</v>
      </c>
      <c r="G4" s="39" t="s">
        <v>584</v>
      </c>
      <c r="H4" s="39" t="s">
        <v>134</v>
      </c>
      <c r="I4" s="39" t="s">
        <v>135</v>
      </c>
      <c r="J4" s="39" t="s">
        <v>136</v>
      </c>
      <c r="L4" s="37" t="s">
        <v>115</v>
      </c>
      <c r="M4" s="37" t="s">
        <v>534</v>
      </c>
      <c r="N4" s="37" t="s">
        <v>116</v>
      </c>
      <c r="O4" s="37" t="s">
        <v>89</v>
      </c>
      <c r="P4" s="37" t="s">
        <v>117</v>
      </c>
      <c r="Q4" s="37" t="s">
        <v>118</v>
      </c>
      <c r="R4" s="37" t="s">
        <v>119</v>
      </c>
      <c r="S4" s="39" t="s">
        <v>120</v>
      </c>
      <c r="T4" s="39" t="s">
        <v>121</v>
      </c>
    </row>
    <row r="5" spans="1:20">
      <c r="B5" s="42" t="s">
        <v>131</v>
      </c>
      <c r="C5" s="42"/>
      <c r="D5" s="50"/>
      <c r="E5" s="42"/>
      <c r="F5" s="48" t="s">
        <v>137</v>
      </c>
      <c r="G5" s="50" t="s">
        <v>509</v>
      </c>
      <c r="H5" s="42"/>
      <c r="I5" s="42"/>
      <c r="J5" s="42" t="s">
        <v>138</v>
      </c>
      <c r="L5" s="42" t="s">
        <v>496</v>
      </c>
      <c r="M5" s="42"/>
      <c r="N5" s="42"/>
      <c r="O5" s="42"/>
      <c r="P5" s="42"/>
      <c r="Q5" s="42"/>
      <c r="R5" s="42"/>
      <c r="S5" s="42"/>
      <c r="T5" s="42"/>
    </row>
    <row r="6" spans="1:20">
      <c r="B6" s="19" t="str">
        <f>'Building stock'!N6</f>
        <v>S-BLD_CS</v>
      </c>
      <c r="C6" s="19" t="str">
        <f>'Building stock'!O6</f>
        <v>Services Buildings - Commercial Services</v>
      </c>
      <c r="D6" s="9" t="str">
        <f>Commodities!D7</f>
        <v>SRVSH-CS</v>
      </c>
      <c r="E6" s="19" t="str">
        <f>Commodities!D5</f>
        <v>SRV-CS</v>
      </c>
      <c r="F6" s="53">
        <f>'Key Inputs'!D21</f>
        <v>28.901664567933956</v>
      </c>
      <c r="G6" s="286">
        <f>SUM(TH_Techs!$AJ$7:$AJ$14)/'Building stock'!$F$6</f>
        <v>0.32100596661207964</v>
      </c>
      <c r="H6" s="19">
        <v>1</v>
      </c>
      <c r="I6" s="19">
        <v>3</v>
      </c>
      <c r="J6" s="19">
        <v>100</v>
      </c>
      <c r="L6" s="9" t="s">
        <v>28</v>
      </c>
      <c r="M6" s="36" t="str">
        <f>_xlfn.TEXTJOIN(",",TRUE,IF(LEFT(Regions!$C$3,1)&lt;&gt;"*",Regions!$C$3,""),IF(LEFT(Regions!$D$3,1)&lt;&gt;"*",Regions!$D$3,""))</f>
        <v>IE,National</v>
      </c>
      <c r="N6" s="9" t="str">
        <f>CONCATENATE(LEFT(Legend!$C$4),"-BLD_",Legend!C21)</f>
        <v>S-BLD_CS</v>
      </c>
      <c r="O6" s="9" t="str">
        <f>CONCATENATE(Legend!$B$4," Buildings - ",Legend!A21)</f>
        <v>Services Buildings - Commercial Services</v>
      </c>
      <c r="P6" s="9" t="s">
        <v>66</v>
      </c>
      <c r="Q6" s="9" t="s">
        <v>66</v>
      </c>
      <c r="R6" s="9" t="s">
        <v>30</v>
      </c>
      <c r="S6" s="9"/>
      <c r="T6" s="9"/>
    </row>
    <row r="7" spans="1:20">
      <c r="D7" s="9" t="str">
        <f>Commodities!D8</f>
        <v>SRVWH-CS</v>
      </c>
      <c r="G7" s="286">
        <f>SUM(TH_Techs!$AJ$16:$AJ$22)/'Building stock'!$F$6</f>
        <v>8.9259606183188622E-2</v>
      </c>
      <c r="L7" s="14" t="s">
        <v>28</v>
      </c>
      <c r="M7" s="46" t="str">
        <f>_xlfn.TEXTJOIN(",",TRUE,IF(LEFT(Regions!$C$3,1)&lt;&gt;"*",Regions!$C$3,""),IF(LEFT(Regions!$D$3,1)&lt;&gt;"*",Regions!$D$3,""))</f>
        <v>IE,National</v>
      </c>
      <c r="N7" s="14" t="str">
        <f>CONCATENATE(LEFT(Legend!$C$4),"-BLD_",Legend!C22)</f>
        <v>S-BLD_PU</v>
      </c>
      <c r="O7" s="14" t="str">
        <f>CONCATENATE(Legend!$B$4," Buildings - ",Legend!A22)</f>
        <v>Services Buildings - Public Services</v>
      </c>
      <c r="P7" s="14" t="s">
        <v>66</v>
      </c>
      <c r="Q7" s="14" t="s">
        <v>66</v>
      </c>
      <c r="R7" s="14" t="s">
        <v>30</v>
      </c>
      <c r="S7" s="14"/>
      <c r="T7" s="14"/>
    </row>
    <row r="8" spans="1:20">
      <c r="D8" s="9" t="str">
        <f>Commodities!D9</f>
        <v>SRVSC-CS</v>
      </c>
      <c r="G8" s="286">
        <f>SUM(TH_Techs!$AJ$24:$AJ$25)/'Building stock'!$F$6</f>
        <v>0.12810823415848985</v>
      </c>
      <c r="H8" s="280"/>
      <c r="O8" s="1"/>
      <c r="P8" s="1"/>
    </row>
    <row r="9" spans="1:20">
      <c r="A9" s="52"/>
      <c r="B9" s="52"/>
      <c r="C9" s="52"/>
      <c r="D9" s="9" t="str">
        <f>Commodities!D10</f>
        <v>SRVCK-CS</v>
      </c>
      <c r="E9" s="9"/>
      <c r="G9" s="286">
        <f>SUM(CK_Techs!$AD$7:$AD$10)/'Building stock'!$F$6</f>
        <v>0.14156431548524989</v>
      </c>
      <c r="O9" s="1"/>
      <c r="P9" s="1"/>
    </row>
    <row r="10" spans="1:20">
      <c r="A10" s="52"/>
      <c r="D10" s="9" t="str">
        <f>Commodities!D11</f>
        <v>SRVLIG-CS</v>
      </c>
      <c r="G10" s="45">
        <f>EAP_Techs!AD6/'Building stock'!$F$6</f>
        <v>0.65611067742996398</v>
      </c>
      <c r="P10" s="1"/>
    </row>
    <row r="11" spans="1:20">
      <c r="A11" s="52"/>
      <c r="D11" s="9" t="str">
        <f>Commodities!D12</f>
        <v>SRVREF-CS</v>
      </c>
      <c r="G11" s="45">
        <f>EAP_Techs!AD7/'Building stock'!$F$6</f>
        <v>3.4112422198348336</v>
      </c>
      <c r="P11" s="1"/>
    </row>
    <row r="12" spans="1:20">
      <c r="A12" s="52"/>
      <c r="B12" s="44"/>
      <c r="C12" s="44"/>
      <c r="D12" s="14" t="str">
        <f>Commodities!D13</f>
        <v>SRVOEL-CS</v>
      </c>
      <c r="E12" s="44"/>
      <c r="F12" s="44"/>
      <c r="G12" s="305">
        <f>EAP_Techs!AD8/'Building stock'!$F$6</f>
        <v>0.34950299683455643</v>
      </c>
      <c r="H12" s="44"/>
      <c r="I12" s="44"/>
      <c r="J12" s="44"/>
    </row>
    <row r="13" spans="1:20">
      <c r="A13" s="52"/>
      <c r="B13" s="19" t="str">
        <f>'Building stock'!N7</f>
        <v>S-BLD_PU</v>
      </c>
      <c r="C13" s="19" t="str">
        <f>'Building stock'!O7</f>
        <v>Services Buildings - Public Services</v>
      </c>
      <c r="D13" s="9" t="str">
        <f>Commodities!D14</f>
        <v>SRVSH-PU</v>
      </c>
      <c r="E13" s="19" t="str">
        <f>Commodities!D6</f>
        <v>SRV-PU</v>
      </c>
      <c r="F13" s="53">
        <f>'Key Inputs'!D22</f>
        <v>58.151541961987604</v>
      </c>
      <c r="G13" s="286">
        <f>SUM(TH_Techs!$AJ$27:$AJ$34)/'Building stock'!$F$13</f>
        <v>0.10255744186294675</v>
      </c>
      <c r="H13" s="19">
        <v>1</v>
      </c>
      <c r="I13" s="19">
        <v>3</v>
      </c>
      <c r="J13" s="19">
        <v>100</v>
      </c>
    </row>
    <row r="14" spans="1:20" ht="23.5">
      <c r="A14" s="52"/>
      <c r="C14" s="9"/>
      <c r="D14" s="9" t="str">
        <f>Commodities!D15</f>
        <v>SRVWH-PU</v>
      </c>
      <c r="E14" s="9"/>
      <c r="F14" s="9"/>
      <c r="G14" s="286">
        <f>SUM(TH_Techs!$AJ$36:$AJ$42)/'Building stock'!$F$13</f>
        <v>2.5647153291100615E-2</v>
      </c>
      <c r="H14" s="9"/>
      <c r="N14" s="20"/>
    </row>
    <row r="15" spans="1:20">
      <c r="A15" s="52"/>
      <c r="B15" s="9"/>
      <c r="C15" s="40"/>
      <c r="D15" s="9" t="str">
        <f>Commodities!D16</f>
        <v>SRVSC-PU</v>
      </c>
      <c r="E15" s="9"/>
      <c r="F15" s="9"/>
      <c r="G15" s="286">
        <f>SUM(TH_Techs!$AJ$44:$AJ$45)/'Building stock'!$F$13</f>
        <v>1.8339681260732058E-2</v>
      </c>
      <c r="H15" s="9"/>
    </row>
    <row r="16" spans="1:20">
      <c r="A16" s="52"/>
      <c r="B16" s="285"/>
      <c r="D16" s="9" t="str">
        <f>Commodities!D17</f>
        <v>SRVCK-PU</v>
      </c>
      <c r="F16" s="9"/>
      <c r="G16" s="286">
        <f>SUM(CK_Techs!$AD$12:$AD$15)/'Building stock'!$F$13</f>
        <v>2.9568685514080238E-2</v>
      </c>
    </row>
    <row r="17" spans="1:15">
      <c r="A17" s="52"/>
      <c r="B17" s="9"/>
      <c r="D17" s="9" t="str">
        <f>Commodities!D18</f>
        <v>SRVLIG-PU</v>
      </c>
      <c r="F17" s="5"/>
      <c r="G17" s="286">
        <f>EAP_Techs!AD9/'Building stock'!$F$13</f>
        <v>0.16206914757843674</v>
      </c>
    </row>
    <row r="18" spans="1:15">
      <c r="A18" s="52"/>
      <c r="D18" s="9" t="str">
        <f>Commodities!D19</f>
        <v>SRVREF-PU</v>
      </c>
      <c r="G18" s="286">
        <f>EAP_Techs!AD10/'Building stock'!$F$13</f>
        <v>0.84262783364201532</v>
      </c>
    </row>
    <row r="19" spans="1:15">
      <c r="A19" s="52"/>
      <c r="B19" s="44"/>
      <c r="C19" s="44"/>
      <c r="D19" s="14" t="str">
        <f>Commodities!D20</f>
        <v>SRVOEL-PU</v>
      </c>
      <c r="E19" s="44"/>
      <c r="F19" s="44"/>
      <c r="G19" s="287">
        <f>EAP_Techs!AD11/'Building stock'!$F$13</f>
        <v>4.9837986598273598E-2</v>
      </c>
      <c r="H19" s="44"/>
      <c r="I19" s="44"/>
      <c r="J19" s="44"/>
    </row>
    <row r="20" spans="1:15">
      <c r="A20" s="52"/>
      <c r="D20" s="9"/>
    </row>
    <row r="21" spans="1:15">
      <c r="A21" s="52"/>
    </row>
    <row r="22" spans="1:15">
      <c r="A22" s="52"/>
      <c r="B22" s="9"/>
      <c r="D22" s="9"/>
      <c r="F22" s="5"/>
      <c r="G22" s="5"/>
    </row>
    <row r="23" spans="1:15" ht="23.5">
      <c r="A23" s="52"/>
      <c r="B23" s="47" t="s">
        <v>519</v>
      </c>
      <c r="D23" s="1"/>
      <c r="E23" s="1"/>
      <c r="F23" s="1"/>
      <c r="G23" s="5"/>
    </row>
    <row r="24" spans="1:15">
      <c r="A24" s="52"/>
      <c r="D24" s="35" t="s">
        <v>86</v>
      </c>
      <c r="E24" s="35"/>
      <c r="F24" s="1"/>
      <c r="G24" s="9"/>
    </row>
    <row r="25" spans="1:15" ht="15" thickBot="1">
      <c r="A25" s="52"/>
      <c r="B25" s="21" t="s">
        <v>520</v>
      </c>
      <c r="C25" s="21" t="s">
        <v>7</v>
      </c>
      <c r="D25" s="21" t="s">
        <v>607</v>
      </c>
      <c r="E25" s="21">
        <v>2018</v>
      </c>
      <c r="O25" s="53"/>
    </row>
    <row r="26" spans="1:15" ht="26">
      <c r="A26" s="52"/>
      <c r="B26" s="39" t="s">
        <v>606</v>
      </c>
      <c r="C26" s="39" t="s">
        <v>517</v>
      </c>
      <c r="D26" s="39"/>
      <c r="E26" s="39" t="s">
        <v>140</v>
      </c>
      <c r="O26" s="53"/>
    </row>
    <row r="27" spans="1:15">
      <c r="A27" s="52"/>
      <c r="B27" s="42" t="s">
        <v>131</v>
      </c>
      <c r="C27" s="42"/>
      <c r="D27" s="42"/>
      <c r="E27" s="48" t="s">
        <v>137</v>
      </c>
      <c r="O27" s="53"/>
    </row>
    <row r="28" spans="1:15">
      <c r="A28" s="52"/>
      <c r="B28" s="19" t="str">
        <f>_xlfn.TEXTJOIN(",",TRUE,IF(LEFT(Regions!$C$3,1)&lt;&gt;"*",Regions!$C$3,""),IF(LEFT(Regions!$D$3,1)&lt;&gt;"*",Regions!$D$3,""))</f>
        <v>IE,National</v>
      </c>
      <c r="C28" s="1" t="str">
        <f>Commodities!D5</f>
        <v>SRV-CS</v>
      </c>
      <c r="D28" s="19" t="s">
        <v>139</v>
      </c>
      <c r="E28" s="322">
        <f>F6</f>
        <v>28.901664567933956</v>
      </c>
    </row>
    <row r="29" spans="1:15">
      <c r="A29" s="52"/>
      <c r="B29" s="44" t="str">
        <f>_xlfn.TEXTJOIN(",",TRUE,IF(LEFT(Regions!$C$3,1)&lt;&gt;"*",Regions!$C$3,""),IF(LEFT(Regions!$D$3,1)&lt;&gt;"*",Regions!$D$3,""))</f>
        <v>IE,National</v>
      </c>
      <c r="C29" s="44" t="str">
        <f>Commodities!D6</f>
        <v>SRV-PU</v>
      </c>
      <c r="D29" s="44" t="s">
        <v>139</v>
      </c>
      <c r="E29" s="323">
        <f>F13</f>
        <v>58.151541961987604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9" tint="0.59999389629810485"/>
  </sheetPr>
  <dimension ref="A1:AK57"/>
  <sheetViews>
    <sheetView zoomScale="80" zoomScaleNormal="80" workbookViewId="0">
      <pane ySplit="5" topLeftCell="A6" activePane="bottomLeft" state="frozen"/>
      <selection pane="bottomLeft" activeCell="J9" sqref="J9"/>
    </sheetView>
  </sheetViews>
  <sheetFormatPr defaultColWidth="8.81640625" defaultRowHeight="14.5"/>
  <cols>
    <col min="1" max="1" width="2" style="9" bestFit="1" customWidth="1"/>
    <col min="2" max="2" width="17.453125" style="9" customWidth="1"/>
    <col min="3" max="3" width="24.453125" style="9" customWidth="1"/>
    <col min="4" max="4" width="60.54296875" style="9" bestFit="1" customWidth="1"/>
    <col min="5" max="7" width="15" style="9" customWidth="1"/>
    <col min="8" max="8" width="10.81640625" style="9" customWidth="1"/>
    <col min="9" max="17" width="10.81640625" customWidth="1"/>
    <col min="18" max="19" width="17.81640625" style="9" customWidth="1"/>
    <col min="20" max="20" width="19.54296875" style="9" bestFit="1" customWidth="1"/>
    <col min="21" max="21" width="65" style="9" bestFit="1" customWidth="1"/>
    <col min="22" max="24" width="10.81640625" style="9" customWidth="1"/>
    <col min="25" max="26" width="10.81640625" style="5" customWidth="1"/>
    <col min="27" max="27" width="10.81640625" customWidth="1"/>
    <col min="28" max="28" width="21.453125" style="5" bestFit="1" customWidth="1"/>
    <col min="29" max="29" width="15.26953125" style="5" bestFit="1" customWidth="1"/>
    <col min="30" max="30" width="24.54296875" style="5" bestFit="1" customWidth="1"/>
    <col min="31" max="34" width="10" style="5" customWidth="1"/>
    <col min="35" max="16384" width="8.81640625" style="5"/>
  </cols>
  <sheetData>
    <row r="1" spans="1:37" ht="23.5">
      <c r="B1" s="20" t="s">
        <v>503</v>
      </c>
      <c r="D1" s="20"/>
    </row>
    <row r="2" spans="1:37">
      <c r="B2" s="40" t="s">
        <v>86</v>
      </c>
      <c r="R2" s="35" t="s">
        <v>13</v>
      </c>
      <c r="S2" s="35"/>
      <c r="T2" s="36"/>
      <c r="U2" s="36"/>
      <c r="V2" s="36"/>
      <c r="W2" s="36"/>
      <c r="X2" s="36"/>
      <c r="Y2" s="36"/>
      <c r="Z2" s="36"/>
    </row>
    <row r="3" spans="1:37" ht="44" thickBot="1">
      <c r="B3" s="21" t="s">
        <v>520</v>
      </c>
      <c r="C3" s="21" t="s">
        <v>4</v>
      </c>
      <c r="D3" s="41" t="s">
        <v>123</v>
      </c>
      <c r="E3" s="21" t="s">
        <v>22</v>
      </c>
      <c r="F3" s="21" t="s">
        <v>540</v>
      </c>
      <c r="G3" s="21" t="s">
        <v>23</v>
      </c>
      <c r="H3" s="21" t="s">
        <v>111</v>
      </c>
      <c r="I3" s="21" t="s">
        <v>87</v>
      </c>
      <c r="J3" s="21" t="s">
        <v>142</v>
      </c>
      <c r="K3" s="21" t="s">
        <v>29</v>
      </c>
      <c r="L3" s="21" t="s">
        <v>124</v>
      </c>
      <c r="M3" s="41" t="str">
        <f>"Share-I~"&amp;Legend!$C$44</f>
        <v>Share-I~SRVAHT</v>
      </c>
      <c r="N3" s="41" t="str">
        <f>"Share-I~UP~"&amp;Legend!$C$41</f>
        <v>Share-I~UP~SRVBGS</v>
      </c>
      <c r="O3" s="41" t="str">
        <f>"Share-I~LO~"&amp;Legend!$C$41</f>
        <v>Share-I~LO~SRVBGS</v>
      </c>
      <c r="P3" s="41" t="str">
        <f>"Share-I~LO~0~"&amp;Legend!$C$41</f>
        <v>Share-I~LO~0~SRVBGS</v>
      </c>
      <c r="R3" s="21" t="s">
        <v>14</v>
      </c>
      <c r="S3" s="21" t="s">
        <v>520</v>
      </c>
      <c r="T3" s="21" t="s">
        <v>4</v>
      </c>
      <c r="U3" s="21" t="s">
        <v>15</v>
      </c>
      <c r="V3" s="21" t="s">
        <v>16</v>
      </c>
      <c r="W3" s="21" t="s">
        <v>17</v>
      </c>
      <c r="X3" s="21" t="s">
        <v>18</v>
      </c>
      <c r="Y3" s="21" t="s">
        <v>19</v>
      </c>
      <c r="Z3" s="21" t="s">
        <v>20</v>
      </c>
      <c r="AB3" s="609" t="s">
        <v>378</v>
      </c>
      <c r="AC3" s="609" t="s">
        <v>160</v>
      </c>
      <c r="AD3" s="609" t="s">
        <v>81</v>
      </c>
      <c r="AE3" s="609" t="s">
        <v>498</v>
      </c>
      <c r="AF3" s="609" t="s">
        <v>499</v>
      </c>
      <c r="AG3" s="609" t="s">
        <v>500</v>
      </c>
      <c r="AH3" s="609" t="s">
        <v>501</v>
      </c>
      <c r="AI3" s="54" t="s">
        <v>77</v>
      </c>
      <c r="AJ3" s="55"/>
    </row>
    <row r="4" spans="1:37" ht="52.5" thickBot="1">
      <c r="B4" s="39" t="s">
        <v>608</v>
      </c>
      <c r="C4" s="39" t="s">
        <v>116</v>
      </c>
      <c r="D4" s="39" t="s">
        <v>89</v>
      </c>
      <c r="E4" s="39" t="s">
        <v>126</v>
      </c>
      <c r="F4" s="39" t="s">
        <v>541</v>
      </c>
      <c r="G4" s="39" t="s">
        <v>127</v>
      </c>
      <c r="H4" s="39" t="s">
        <v>143</v>
      </c>
      <c r="I4" s="39" t="s">
        <v>129</v>
      </c>
      <c r="J4" s="39" t="s">
        <v>128</v>
      </c>
      <c r="K4" s="39" t="s">
        <v>136</v>
      </c>
      <c r="L4" s="39" t="s">
        <v>130</v>
      </c>
      <c r="M4" s="39"/>
      <c r="N4" s="39" t="s">
        <v>184</v>
      </c>
      <c r="O4" s="39" t="s">
        <v>186</v>
      </c>
      <c r="P4" s="39" t="s">
        <v>185</v>
      </c>
      <c r="R4" s="37" t="s">
        <v>115</v>
      </c>
      <c r="S4" s="37" t="s">
        <v>534</v>
      </c>
      <c r="T4" s="37" t="s">
        <v>116</v>
      </c>
      <c r="U4" s="37" t="s">
        <v>89</v>
      </c>
      <c r="V4" s="37" t="s">
        <v>117</v>
      </c>
      <c r="W4" s="37" t="s">
        <v>118</v>
      </c>
      <c r="X4" s="37" t="s">
        <v>119</v>
      </c>
      <c r="Y4" s="39" t="s">
        <v>120</v>
      </c>
      <c r="Z4" s="39" t="s">
        <v>121</v>
      </c>
      <c r="AB4" s="610"/>
      <c r="AC4" s="610"/>
      <c r="AD4" s="610"/>
      <c r="AE4" s="610"/>
      <c r="AF4" s="610"/>
      <c r="AG4" s="610"/>
      <c r="AH4" s="610"/>
      <c r="AI4" s="13" t="s">
        <v>146</v>
      </c>
      <c r="AJ4" s="56" t="s">
        <v>502</v>
      </c>
    </row>
    <row r="5" spans="1:37" ht="15">
      <c r="B5" s="42" t="s">
        <v>131</v>
      </c>
      <c r="C5" s="42"/>
      <c r="D5" s="42"/>
      <c r="E5" s="42"/>
      <c r="F5" s="270"/>
      <c r="G5" s="42"/>
      <c r="H5" s="42" t="s">
        <v>67</v>
      </c>
      <c r="I5" s="42" t="s">
        <v>132</v>
      </c>
      <c r="J5" s="42" t="s">
        <v>132</v>
      </c>
      <c r="K5" s="42" t="s">
        <v>138</v>
      </c>
      <c r="L5" s="42" t="s">
        <v>95</v>
      </c>
      <c r="M5" s="270" t="s">
        <v>543</v>
      </c>
      <c r="N5" s="42" t="s">
        <v>132</v>
      </c>
      <c r="O5" s="42" t="s">
        <v>132</v>
      </c>
      <c r="P5" s="42"/>
      <c r="R5" s="42" t="s">
        <v>496</v>
      </c>
      <c r="S5" s="42"/>
      <c r="T5" s="42"/>
      <c r="U5" s="42"/>
      <c r="V5" s="42"/>
      <c r="W5" s="42"/>
      <c r="X5" s="42"/>
      <c r="Y5" s="42"/>
      <c r="Z5" s="42"/>
      <c r="AB5" s="268"/>
      <c r="AC5" s="268"/>
      <c r="AD5" s="268"/>
      <c r="AE5" s="268"/>
      <c r="AF5" s="268"/>
      <c r="AG5" s="268"/>
      <c r="AH5" s="268"/>
      <c r="AI5" s="57" t="s">
        <v>46</v>
      </c>
      <c r="AJ5" s="57" t="s">
        <v>46</v>
      </c>
    </row>
    <row r="6" spans="1:37" s="6" customFormat="1">
      <c r="A6" s="15"/>
      <c r="B6" s="15" t="str">
        <f>IF($AE6="",R6,T6)</f>
        <v>*Commercial Services Space heating</v>
      </c>
      <c r="D6" s="15" t="str">
        <f t="shared" ref="D6:D45" si="0">IF($AE6="","",U6)</f>
        <v/>
      </c>
      <c r="E6" s="264" t="str">
        <f t="shared" ref="E6" si="1">IF($AE6="","",AF6)</f>
        <v/>
      </c>
      <c r="F6" s="264"/>
      <c r="G6" s="15" t="str">
        <f>IF($AE6="","",CONCATENATE(Legend!$C$4,AH6,"-",AG6))</f>
        <v/>
      </c>
      <c r="H6" s="264" t="str">
        <f>IF($AE6="","",SUMIFS('Key Inputs'!$K$29:$K$114,'Key Inputs'!$A$29:$A$114,$AB6,'Key Inputs'!$B$29:$B$114,$AC6,'Key Inputs'!$C$29:$C$114,$AD6))</f>
        <v/>
      </c>
      <c r="I6" s="264" t="str">
        <f>IF($AE6="","",SUMIFS('Key Inputs'!$G$29:$G$114,'Key Inputs'!$A$29:$A$114,$AB6,'Key Inputs'!$B$29:$B$114,$AC6,'Key Inputs'!$C$29:$C$114,$AD6))</f>
        <v/>
      </c>
      <c r="J6" s="265" t="str">
        <f>IF($AE6="","",SUMIFS('Key Inputs'!$I$29:$I$114,'Key Inputs'!$A$29:$A$114,$AB6,'Key Inputs'!$B$29:$B$114,$AC6,'Key Inputs'!$C$29:$C$114,$AD6)/8760)</f>
        <v/>
      </c>
      <c r="K6" s="266" t="str">
        <f>IF($AE6="","",SUMIFS('Key Inputs'!$H$29:$H$114,'Key Inputs'!$A$29:$A$114,$AB6,'Key Inputs'!$B$29:$B$114,$AC6,'Key Inputs'!$C$29:$C$114,$AD6))</f>
        <v/>
      </c>
      <c r="L6" s="75" t="str">
        <f t="shared" ref="L6:L45" si="2">IF($AE6="","",31.536)</f>
        <v/>
      </c>
      <c r="M6" s="75"/>
      <c r="N6" s="75"/>
      <c r="O6" s="75"/>
      <c r="P6" s="75"/>
      <c r="Q6" s="267"/>
      <c r="R6" s="15" t="str">
        <f>IF($AE6="","*"&amp;AB7&amp;" "&amp;AC7,"PRE")</f>
        <v>*Commercial Services Space heating</v>
      </c>
      <c r="S6" s="36"/>
      <c r="T6" s="15"/>
      <c r="U6" s="15"/>
      <c r="AA6" s="267"/>
      <c r="AI6" s="16"/>
      <c r="AJ6" s="165"/>
    </row>
    <row r="7" spans="1:37" customFormat="1">
      <c r="B7" s="27" t="str">
        <f t="shared" ref="B7:C45" si="3">IF($AE7="",Q7,S7)</f>
        <v>IE,National</v>
      </c>
      <c r="C7" s="27" t="str">
        <f t="shared" si="3"/>
        <v>S-SH-CS_COA_X0</v>
      </c>
      <c r="D7" s="9" t="str">
        <f t="shared" si="0"/>
        <v>Commercial Services - Space heating: Solids</v>
      </c>
      <c r="E7" s="43" t="str">
        <f>IF($AE7="","",AF7)</f>
        <v>SRVCOA</v>
      </c>
      <c r="F7" s="43"/>
      <c r="G7" s="9" t="str">
        <f>IF($AE7="","",CONCATENATE(Legend!$C$4,AH7,"-",AG7))</f>
        <v>SRVSH-CS</v>
      </c>
      <c r="H7" s="43">
        <f>IF($AE7="","",SUMIFS('Key Inputs'!$K$29:$K$114,'Key Inputs'!$A$29:$A$114,$AB7,'Key Inputs'!$B$29:$B$114,$AC7,'Key Inputs'!$C$29:$C$114,$AD7))</f>
        <v>2.1527381312932332E-3</v>
      </c>
      <c r="I7" s="255">
        <f>IF($AE7="","",SUMIFS('Key Inputs'!$G$29:$G$114,'Key Inputs'!$A$29:$A$114,$AB7,'Key Inputs'!$B$29:$B$114,$AC7,'Key Inputs'!$C$29:$C$114,$AD7))</f>
        <v>0.33</v>
      </c>
      <c r="J7" s="255">
        <f>IF($AE7="","",SUMIFS('Key Inputs'!$I$29:$I$114,'Key Inputs'!$A$29:$A$114,$AB7,'Key Inputs'!$B$29:$B$114,$AC7,'Key Inputs'!$C$29:$C$114,$AD7)/8760)</f>
        <v>0.11415525114155251</v>
      </c>
      <c r="K7" s="257">
        <f>IF($AE7="","",SUMIFS('Key Inputs'!$H$29:$H$114,'Key Inputs'!$A$29:$A$114,$AB7,'Key Inputs'!$B$29:$B$114,$AC7,'Key Inputs'!$C$29:$C$114,$AD7))</f>
        <v>20</v>
      </c>
      <c r="L7" s="51">
        <f t="shared" si="2"/>
        <v>31.536000000000001</v>
      </c>
      <c r="M7" s="51"/>
      <c r="N7" s="51"/>
      <c r="O7" s="51"/>
      <c r="P7" s="51"/>
      <c r="R7" s="27" t="str">
        <f>IF($AE7="","*"&amp;AB8&amp;" "&amp;AC8,"PRE")</f>
        <v>PRE</v>
      </c>
      <c r="S7" s="36" t="str">
        <f>IF($AE7="","",_xlfn.TEXTJOIN(",",TRUE,IF(LEFT(Regions!$C$3,1)&lt;&gt;"*",Regions!$C$3,""),IF(LEFT(Regions!$D$3,1)&lt;&gt;"*",Regions!$D$3,"")))</f>
        <v>IE,National</v>
      </c>
      <c r="T7" s="9" t="str">
        <f>IF($AE7="","",CONCATENATE(LEFT(Legend!$C$4),"-",$AH7,"-",$AG7,"_",$AE7,"_X0"))</f>
        <v>S-SH-CS_COA_X0</v>
      </c>
      <c r="U7" s="9" t="str">
        <f t="shared" ref="U7:U45" si="4">IF($AE7="","",CONCATENATE(AB7," - ",AC7,": ",AD7))</f>
        <v>Commercial Services - Space heating: Solids</v>
      </c>
      <c r="V7" s="9" t="str">
        <f t="shared" ref="V7:V45" si="5">IF($AE7="","","PJ")</f>
        <v>PJ</v>
      </c>
      <c r="W7" s="9" t="str">
        <f t="shared" ref="W7:W45" si="6">IF($AE7="","","GW")</f>
        <v>GW</v>
      </c>
      <c r="X7" s="9" t="str">
        <f t="shared" ref="X7:X45" si="7">IF($AE7="","","ANNUAL")</f>
        <v>ANNUAL</v>
      </c>
      <c r="Y7" s="9"/>
      <c r="Z7" s="9"/>
      <c r="AB7" s="5" t="str">
        <f>IF('Key Inputs'!A29="","",'Key Inputs'!A29)</f>
        <v>Commercial Services</v>
      </c>
      <c r="AC7" s="5" t="str">
        <f>IF('Key Inputs'!B29="","",'Key Inputs'!B29)</f>
        <v>Space heating</v>
      </c>
      <c r="AD7" s="5" t="str">
        <f>IF('Key Inputs'!C29="","",'Key Inputs'!C29)</f>
        <v>Solids</v>
      </c>
      <c r="AE7" s="5" t="str">
        <f>IF('Key Inputs'!D29="","",'Key Inputs'!D29)</f>
        <v>COA</v>
      </c>
      <c r="AF7" s="5" t="str">
        <f>IF('Key Inputs'!E29="","",'Key Inputs'!E29)</f>
        <v>SRVCOA</v>
      </c>
      <c r="AG7" s="5" t="str">
        <f>_xlfn.XLOOKUP(AB7,Legend!$A$21:$A$22,Legend!$C$21:$C$22)</f>
        <v>CS</v>
      </c>
      <c r="AH7" s="5" t="str">
        <f>_xlfn.XLOOKUP(AC7,Legend!$A$24:$A$34,Legend!$C$24:$C$34)</f>
        <v>SH</v>
      </c>
      <c r="AI7" s="16">
        <f>IF($AE7="","",AJ7/I7)</f>
        <v>2.3484415977744359E-2</v>
      </c>
      <c r="AJ7" s="16">
        <f>IF($AE7="","",H7*J7*L7)</f>
        <v>7.7498572726556391E-3</v>
      </c>
      <c r="AK7" s="5"/>
    </row>
    <row r="8" spans="1:37">
      <c r="B8" s="27" t="str">
        <f t="shared" si="3"/>
        <v>IE,National</v>
      </c>
      <c r="C8" s="27" t="str">
        <f t="shared" si="3"/>
        <v>S-SH-CS_LPG_X0</v>
      </c>
      <c r="D8" s="9" t="str">
        <f t="shared" si="0"/>
        <v>Commercial Services - Space heating: LPG</v>
      </c>
      <c r="E8" s="43" t="str">
        <f t="shared" ref="E8:E45" si="8">IF($AE8="","",AF8)</f>
        <v>SRVLPG</v>
      </c>
      <c r="F8" s="43"/>
      <c r="G8" s="9" t="str">
        <f>IF($AE8="","",CONCATENATE(Legend!$C$4,AH8,"-",AG8))</f>
        <v>SRVSH-CS</v>
      </c>
      <c r="H8" s="43">
        <f>IF($AE8="","",SUMIFS('Key Inputs'!$K$29:$K$114,'Key Inputs'!$A$29:$A$114,$AB8,'Key Inputs'!$B$29:$B$114,$AC8,'Key Inputs'!$C$29:$C$114,$AD8))</f>
        <v>0</v>
      </c>
      <c r="I8" s="255">
        <f>IF($AE8="","",SUMIFS('Key Inputs'!$G$29:$G$114,'Key Inputs'!$A$29:$A$114,$AB8,'Key Inputs'!$B$29:$B$114,$AC8,'Key Inputs'!$C$29:$C$114,$AD8))</f>
        <v>0.33</v>
      </c>
      <c r="J8" s="255">
        <f>IF($AE8="","",SUMIFS('Key Inputs'!$I$29:$I$114,'Key Inputs'!$A$29:$A$114,$AB8,'Key Inputs'!$B$29:$B$114,$AC8,'Key Inputs'!$C$29:$C$114,$AD8)/8760)</f>
        <v>0.11415525114155251</v>
      </c>
      <c r="K8" s="257">
        <f>IF($AE8="","",SUMIFS('Key Inputs'!$H$29:$H$114,'Key Inputs'!$A$29:$A$114,$AB8,'Key Inputs'!$B$29:$B$114,$AC8,'Key Inputs'!$C$29:$C$114,$AD8))</f>
        <v>20</v>
      </c>
      <c r="L8" s="51">
        <f>IF($AE8="","",31.536)</f>
        <v>31.536000000000001</v>
      </c>
      <c r="M8" s="51"/>
      <c r="N8" s="51"/>
      <c r="O8" s="51"/>
      <c r="P8" s="51"/>
      <c r="R8" s="27" t="str">
        <f>IF($AE8="","*"&amp;AB9&amp;" "&amp;AC9,"PRE")</f>
        <v>PRE</v>
      </c>
      <c r="S8" s="36" t="str">
        <f>IF($AE8="","",_xlfn.TEXTJOIN(",",TRUE,IF(LEFT(Regions!$C$3,1)&lt;&gt;"*",Regions!$C$3,""),IF(LEFT(Regions!$D$3,1)&lt;&gt;"*",Regions!$D$3,"")))</f>
        <v>IE,National</v>
      </c>
      <c r="T8" s="9" t="str">
        <f>IF($AE8="","",CONCATENATE(LEFT(Legend!$C$4),"-",$AH8,"-",$AG8,"_",$AE8,"_X0"))</f>
        <v>S-SH-CS_LPG_X0</v>
      </c>
      <c r="U8" s="9" t="str">
        <f t="shared" si="4"/>
        <v>Commercial Services - Space heating: LPG</v>
      </c>
      <c r="V8" s="9" t="str">
        <f t="shared" si="5"/>
        <v>PJ</v>
      </c>
      <c r="W8" s="9" t="str">
        <f t="shared" si="6"/>
        <v>GW</v>
      </c>
      <c r="X8" s="9" t="str">
        <f t="shared" si="7"/>
        <v>ANNUAL</v>
      </c>
      <c r="Y8" s="9"/>
      <c r="Z8" s="9"/>
      <c r="AB8" s="5" t="str">
        <f>IF('Key Inputs'!A30="","",'Key Inputs'!A30)</f>
        <v>Commercial Services</v>
      </c>
      <c r="AC8" s="5" t="str">
        <f>IF('Key Inputs'!B30="","",'Key Inputs'!B30)</f>
        <v>Space heating</v>
      </c>
      <c r="AD8" s="5" t="str">
        <f>IF('Key Inputs'!C30="","",'Key Inputs'!C30)</f>
        <v>LPG</v>
      </c>
      <c r="AE8" s="5" t="str">
        <f>IF('Key Inputs'!D30="","",'Key Inputs'!D30)</f>
        <v>LPG</v>
      </c>
      <c r="AF8" s="5" t="str">
        <f>IF('Key Inputs'!E30="","",'Key Inputs'!E30)</f>
        <v>SRVLPG</v>
      </c>
      <c r="AG8" s="5" t="str">
        <f>_xlfn.XLOOKUP(AB8,Legend!$A$21:$A$22,Legend!$C$21:$C$22)</f>
        <v>CS</v>
      </c>
      <c r="AH8" s="5" t="str">
        <f>_xlfn.XLOOKUP(AC8,Legend!$A$24:$A$34,Legend!$C$24:$C$34)</f>
        <v>SH</v>
      </c>
      <c r="AI8" s="16">
        <f t="shared" ref="AI8:AI45" si="9">IF($AE8="","",AJ8/I8)</f>
        <v>0</v>
      </c>
      <c r="AJ8" s="16">
        <f t="shared" ref="AJ8:AJ45" si="10">IF($AE8="","",H8*J8*L8)</f>
        <v>0</v>
      </c>
    </row>
    <row r="9" spans="1:37">
      <c r="B9" s="27" t="str">
        <f t="shared" si="3"/>
        <v>IE,National</v>
      </c>
      <c r="C9" s="27" t="str">
        <f t="shared" si="3"/>
        <v>S-SH-CS_OIL_X0</v>
      </c>
      <c r="D9" s="9" t="str">
        <f t="shared" si="0"/>
        <v>Commercial Services - Space heating: Oil</v>
      </c>
      <c r="E9" s="43" t="str">
        <f t="shared" si="8"/>
        <v>SRVOIL</v>
      </c>
      <c r="F9" s="43"/>
      <c r="G9" s="9" t="str">
        <f>IF($AE9="","",CONCATENATE(Legend!$C$4,AH9,"-",AG9))</f>
        <v>SRVSH-CS</v>
      </c>
      <c r="H9" s="43">
        <f>IF($AE9="","",SUMIFS('Key Inputs'!$K$29:$K$114,'Key Inputs'!$A$29:$A$114,$AB9,'Key Inputs'!$B$29:$B$114,$AC9,'Key Inputs'!$C$29:$C$114,$AD9))</f>
        <v>0.40017313376329738</v>
      </c>
      <c r="I9" s="255">
        <f>IF($AE9="","",SUMIFS('Key Inputs'!$G$29:$G$114,'Key Inputs'!$A$29:$A$114,$AB9,'Key Inputs'!$B$29:$B$114,$AC9,'Key Inputs'!$C$29:$C$114,$AD9))</f>
        <v>0.6583558448972523</v>
      </c>
      <c r="J9" s="255">
        <f>IF($AE9="","",SUMIFS('Key Inputs'!$I$29:$I$114,'Key Inputs'!$A$29:$A$114,$AB9,'Key Inputs'!$B$29:$B$114,$AC9,'Key Inputs'!$C$29:$C$114,$AD9)/8760)*1.02</f>
        <v>0.11643835616438356</v>
      </c>
      <c r="K9" s="257">
        <f>IF($AE9="","",SUMIFS('Key Inputs'!$H$29:$H$114,'Key Inputs'!$A$29:$A$114,$AB9,'Key Inputs'!$B$29:$B$114,$AC9,'Key Inputs'!$C$29:$C$114,$AD9))</f>
        <v>20</v>
      </c>
      <c r="L9" s="51">
        <f t="shared" si="2"/>
        <v>31.536000000000001</v>
      </c>
      <c r="M9" s="51"/>
      <c r="N9" s="51"/>
      <c r="O9" s="51"/>
      <c r="P9" s="51"/>
      <c r="R9" s="27" t="str">
        <f>IF($AE9="","*"&amp;#REF!&amp;" "&amp;#REF!,"PRE")</f>
        <v>PRE</v>
      </c>
      <c r="S9" s="36" t="str">
        <f>IF($AE9="","",_xlfn.TEXTJOIN(",",TRUE,IF(LEFT(Regions!$C$3,1)&lt;&gt;"*",Regions!$C$3,""),IF(LEFT(Regions!$D$3,1)&lt;&gt;"*",Regions!$D$3,"")))</f>
        <v>IE,National</v>
      </c>
      <c r="T9" s="9" t="str">
        <f>IF($AE9="","",CONCATENATE(LEFT(Legend!$C$4),"-",$AH9,"-",$AG9,"_",$AE9,"_X0"))</f>
        <v>S-SH-CS_OIL_X0</v>
      </c>
      <c r="U9" s="9" t="str">
        <f t="shared" si="4"/>
        <v>Commercial Services - Space heating: Oil</v>
      </c>
      <c r="V9" s="9" t="str">
        <f t="shared" si="5"/>
        <v>PJ</v>
      </c>
      <c r="W9" s="9" t="str">
        <f t="shared" si="6"/>
        <v>GW</v>
      </c>
      <c r="X9" s="9" t="str">
        <f t="shared" si="7"/>
        <v>ANNUAL</v>
      </c>
      <c r="Y9" s="9"/>
      <c r="Z9" s="9"/>
      <c r="AB9" s="5" t="str">
        <f>IF('Key Inputs'!A31="","",'Key Inputs'!A31)</f>
        <v>Commercial Services</v>
      </c>
      <c r="AC9" s="5" t="str">
        <f>IF('Key Inputs'!B31="","",'Key Inputs'!B31)</f>
        <v>Space heating</v>
      </c>
      <c r="AD9" s="5" t="str">
        <f>IF('Key Inputs'!C31="","",'Key Inputs'!C31)</f>
        <v>Oil</v>
      </c>
      <c r="AE9" s="5" t="str">
        <f>IF('Key Inputs'!D31="","",'Key Inputs'!D31)</f>
        <v>OIL</v>
      </c>
      <c r="AF9" s="5" t="str">
        <f>IF('Key Inputs'!E31="","",'Key Inputs'!E31)</f>
        <v>SRVOIL</v>
      </c>
      <c r="AG9" s="5" t="str">
        <f>_xlfn.XLOOKUP(AB9,Legend!$A$21:$A$22,Legend!$C$21:$C$22)</f>
        <v>CS</v>
      </c>
      <c r="AH9" s="5" t="str">
        <f>_xlfn.XLOOKUP(AC9,Legend!$A$24:$A$34,Legend!$C$24:$C$34)</f>
        <v>SH</v>
      </c>
      <c r="AI9" s="16">
        <f t="shared" si="9"/>
        <v>2.2319779775148172</v>
      </c>
      <c r="AJ9" s="16">
        <f t="shared" si="10"/>
        <v>1.469435747178828</v>
      </c>
    </row>
    <row r="10" spans="1:37">
      <c r="B10" s="27" t="str">
        <f t="shared" si="3"/>
        <v>IE,National</v>
      </c>
      <c r="C10" s="27" t="str">
        <f t="shared" si="3"/>
        <v>S-SH-CS_GAS_X0</v>
      </c>
      <c r="D10" s="9" t="str">
        <f t="shared" si="0"/>
        <v>Commercial Services - Space heating: Natural Gas</v>
      </c>
      <c r="E10" s="43" t="str">
        <f t="shared" si="8"/>
        <v>SRVGAS, SRVBGS</v>
      </c>
      <c r="F10" s="43"/>
      <c r="G10" s="9" t="str">
        <f>IF($AE10="","",CONCATENATE(Legend!$C$4,AH10,"-",AG10))</f>
        <v>SRVSH-CS</v>
      </c>
      <c r="H10" s="43">
        <f>IF($AE10="","",SUMIFS('Key Inputs'!$K$29:$K$114,'Key Inputs'!$A$29:$A$114,$AB10,'Key Inputs'!$B$29:$B$114,$AC10,'Key Inputs'!$C$29:$C$114,$AD10))</f>
        <v>1.1383418172727175</v>
      </c>
      <c r="I10" s="255">
        <f>IF($AE10="","",SUMIFS('Key Inputs'!$G$29:$G$114,'Key Inputs'!$A$29:$A$114,$AB10,'Key Inputs'!$B$29:$B$114,$AC10,'Key Inputs'!$C$29:$C$114,$AD10))</f>
        <v>0.77299617086321282</v>
      </c>
      <c r="J10" s="255">
        <f>IF($AE10="","",SUMIFS('Key Inputs'!$I$29:$I$114,'Key Inputs'!$A$29:$A$114,$AB10,'Key Inputs'!$B$29:$B$114,$AC10,'Key Inputs'!$C$29:$C$114,$AD10)/8760)</f>
        <v>0.11415525114155251</v>
      </c>
      <c r="K10" s="257">
        <f>IF($AE10="","",SUMIFS('Key Inputs'!$H$29:$H$114,'Key Inputs'!$A$29:$A$114,$AB10,'Key Inputs'!$B$29:$B$114,$AC10,'Key Inputs'!$C$29:$C$114,$AD10))</f>
        <v>20</v>
      </c>
      <c r="L10" s="51">
        <f t="shared" si="2"/>
        <v>31.536000000000001</v>
      </c>
      <c r="M10" s="51"/>
      <c r="N10" s="256">
        <f>EB_SRV!$G$30/'Key Inputs'!$F$32</f>
        <v>6.3529148313920449E-3</v>
      </c>
      <c r="O10" s="256">
        <f>N10</f>
        <v>6.3529148313920449E-3</v>
      </c>
      <c r="P10" s="58">
        <v>5</v>
      </c>
      <c r="R10" s="27" t="str">
        <f t="shared" ref="R10:R28" si="11">IF($AE10="","*"&amp;AB11&amp;" "&amp;AC11,"PRE")</f>
        <v>PRE</v>
      </c>
      <c r="S10" s="36" t="str">
        <f>IF($AE10="","",_xlfn.TEXTJOIN(",",TRUE,IF(LEFT(Regions!$C$3,1)&lt;&gt;"*",Regions!$C$3,""),IF(LEFT(Regions!$D$3,1)&lt;&gt;"*",Regions!$D$3,"")))</f>
        <v>IE,National</v>
      </c>
      <c r="T10" s="9" t="str">
        <f>IF($AE10="","",CONCATENATE(LEFT(Legend!$C$4),"-",$AH10,"-",$AG10,"_",$AE10,"_X0"))</f>
        <v>S-SH-CS_GAS_X0</v>
      </c>
      <c r="U10" s="9" t="str">
        <f t="shared" si="4"/>
        <v>Commercial Services - Space heating: Natural Gas</v>
      </c>
      <c r="V10" s="9" t="str">
        <f t="shared" si="5"/>
        <v>PJ</v>
      </c>
      <c r="W10" s="9" t="str">
        <f t="shared" si="6"/>
        <v>GW</v>
      </c>
      <c r="X10" s="9" t="str">
        <f t="shared" si="7"/>
        <v>ANNUAL</v>
      </c>
      <c r="Y10" s="9"/>
      <c r="Z10" s="9"/>
      <c r="AB10" s="5" t="str">
        <f>IF('Key Inputs'!A32="","",'Key Inputs'!A32)</f>
        <v>Commercial Services</v>
      </c>
      <c r="AC10" s="5" t="str">
        <f>IF('Key Inputs'!B32="","",'Key Inputs'!B32)</f>
        <v>Space heating</v>
      </c>
      <c r="AD10" s="5" t="str">
        <f>IF('Key Inputs'!C32="","",'Key Inputs'!C32)</f>
        <v>Natural Gas</v>
      </c>
      <c r="AE10" s="5" t="str">
        <f>IF('Key Inputs'!D32="","",'Key Inputs'!D32)</f>
        <v>GAS</v>
      </c>
      <c r="AF10" s="5" t="str">
        <f>IF('Key Inputs'!E32="","",'Key Inputs'!E32)</f>
        <v>SRVGAS, SRVBGS</v>
      </c>
      <c r="AG10" s="5" t="str">
        <f>_xlfn.XLOOKUP(AB10,Legend!$A$21:$A$22,Legend!$C$21:$C$22)</f>
        <v>CS</v>
      </c>
      <c r="AH10" s="5" t="str">
        <f>_xlfn.XLOOKUP(AC10,Legend!$A$24:$A$34,Legend!$C$24:$C$34)</f>
        <v>SH</v>
      </c>
      <c r="AI10" s="16">
        <f t="shared" si="9"/>
        <v>5.3014887998804312</v>
      </c>
      <c r="AJ10" s="16">
        <f t="shared" si="10"/>
        <v>4.0980305421817826</v>
      </c>
    </row>
    <row r="11" spans="1:37">
      <c r="B11" s="27" t="str">
        <f t="shared" si="3"/>
        <v>IE,National</v>
      </c>
      <c r="C11" s="27" t="str">
        <f t="shared" si="3"/>
        <v>S-SH-CS_BIO_X0</v>
      </c>
      <c r="D11" s="9" t="str">
        <f t="shared" si="0"/>
        <v>Commercial Services - Space heating: Biomass</v>
      </c>
      <c r="E11" s="43" t="str">
        <f t="shared" si="8"/>
        <v>SRVBIO</v>
      </c>
      <c r="F11" s="43"/>
      <c r="G11" s="9" t="str">
        <f>IF($AE11="","",CONCATENATE(Legend!$C$4,AH11,"-",AG11))</f>
        <v>SRVSH-CS</v>
      </c>
      <c r="H11" s="43">
        <f>IF($AE11="","",SUMIFS('Key Inputs'!$K$29:$K$114,'Key Inputs'!$A$29:$A$114,$AB11,'Key Inputs'!$B$29:$B$114,$AC11,'Key Inputs'!$C$29:$C$114,$AD11))</f>
        <v>5.2645404434468808E-2</v>
      </c>
      <c r="I11" s="255">
        <f>IF($AE11="","",SUMIFS('Key Inputs'!$G$29:$G$114,'Key Inputs'!$A$29:$A$114,$AB11,'Key Inputs'!$B$29:$B$114,$AC11,'Key Inputs'!$C$29:$C$114,$AD11))</f>
        <v>0.63490443337371294</v>
      </c>
      <c r="J11" s="255">
        <f>IF($AE11="","",SUMIFS('Key Inputs'!$I$29:$I$114,'Key Inputs'!$A$29:$A$114,$AB11,'Key Inputs'!$B$29:$B$114,$AC11,'Key Inputs'!$C$29:$C$114,$AD11)/8760)</f>
        <v>0.11415525114155251</v>
      </c>
      <c r="K11" s="257">
        <f>IF($AE11="","",SUMIFS('Key Inputs'!$H$29:$H$114,'Key Inputs'!$A$29:$A$114,$AB11,'Key Inputs'!$B$29:$B$114,$AC11,'Key Inputs'!$C$29:$C$114,$AD11))</f>
        <v>20</v>
      </c>
      <c r="L11" s="51">
        <f t="shared" si="2"/>
        <v>31.536000000000001</v>
      </c>
      <c r="M11" s="51"/>
      <c r="N11" s="51"/>
      <c r="O11" s="51"/>
      <c r="P11" s="51"/>
      <c r="R11" s="27" t="str">
        <f t="shared" si="11"/>
        <v>PRE</v>
      </c>
      <c r="S11" s="36" t="str">
        <f>IF($AE11="","",_xlfn.TEXTJOIN(",",TRUE,IF(LEFT(Regions!$C$3,1)&lt;&gt;"*",Regions!$C$3,""),IF(LEFT(Regions!$D$3,1)&lt;&gt;"*",Regions!$D$3,"")))</f>
        <v>IE,National</v>
      </c>
      <c r="T11" s="9" t="str">
        <f>IF($AE11="","",CONCATENATE(LEFT(Legend!$C$4),"-",$AH11,"-",$AG11,"_",$AE11,"_X0"))</f>
        <v>S-SH-CS_BIO_X0</v>
      </c>
      <c r="U11" s="9" t="str">
        <f t="shared" si="4"/>
        <v>Commercial Services - Space heating: Biomass</v>
      </c>
      <c r="V11" s="9" t="str">
        <f t="shared" si="5"/>
        <v>PJ</v>
      </c>
      <c r="W11" s="9" t="str">
        <f t="shared" si="6"/>
        <v>GW</v>
      </c>
      <c r="X11" s="9" t="str">
        <f t="shared" si="7"/>
        <v>ANNUAL</v>
      </c>
      <c r="Y11" s="9"/>
      <c r="Z11" s="9"/>
      <c r="AB11" s="5" t="str">
        <f>IF('Key Inputs'!A33="","",'Key Inputs'!A33)</f>
        <v>Commercial Services</v>
      </c>
      <c r="AC11" s="5" t="str">
        <f>IF('Key Inputs'!B33="","",'Key Inputs'!B33)</f>
        <v>Space heating</v>
      </c>
      <c r="AD11" s="5" t="str">
        <f>IF('Key Inputs'!C33="","",'Key Inputs'!C33)</f>
        <v>Biomass</v>
      </c>
      <c r="AE11" s="5" t="str">
        <f>IF('Key Inputs'!D33="","",'Key Inputs'!D33)</f>
        <v>BIO</v>
      </c>
      <c r="AF11" s="5" t="str">
        <f>IF('Key Inputs'!E33="","",'Key Inputs'!E33)</f>
        <v>SRVBIO</v>
      </c>
      <c r="AG11" s="5" t="str">
        <f>_xlfn.XLOOKUP(AB11,Legend!$A$21:$A$22,Legend!$C$21:$C$22)</f>
        <v>CS</v>
      </c>
      <c r="AH11" s="5" t="str">
        <f>_xlfn.XLOOKUP(AC11,Legend!$A$24:$A$34,Legend!$C$24:$C$34)</f>
        <v>SH</v>
      </c>
      <c r="AI11" s="16">
        <f t="shared" si="9"/>
        <v>0.29850706027836438</v>
      </c>
      <c r="AJ11" s="16">
        <f t="shared" si="10"/>
        <v>0.18952345596408771</v>
      </c>
    </row>
    <row r="12" spans="1:37">
      <c r="B12" s="27" t="str">
        <f t="shared" si="3"/>
        <v>IE,National</v>
      </c>
      <c r="C12" s="27" t="str">
        <f t="shared" si="3"/>
        <v>S-SH-CS_SOL_X0</v>
      </c>
      <c r="D12" s="9" t="str">
        <f t="shared" si="0"/>
        <v>Commercial Services - Space heating: Solar</v>
      </c>
      <c r="E12" s="43" t="str">
        <f t="shared" si="8"/>
        <v>SRVSOL</v>
      </c>
      <c r="F12" s="43"/>
      <c r="G12" s="9" t="str">
        <f>IF($AE12="","",CONCATENATE(Legend!$C$4,AH12,"-",AG12))</f>
        <v>SRVSH-CS</v>
      </c>
      <c r="H12" s="43">
        <f>IF($AE12="","",SUMIFS('Key Inputs'!$K$29:$K$114,'Key Inputs'!$A$29:$A$114,$AB12,'Key Inputs'!$B$29:$B$114,$AC12,'Key Inputs'!$C$29:$C$114,$AD12))</f>
        <v>0</v>
      </c>
      <c r="I12" s="255">
        <f>IF($AE12="","",SUMIFS('Key Inputs'!$G$29:$G$114,'Key Inputs'!$A$29:$A$114,$AB12,'Key Inputs'!$B$29:$B$114,$AC12,'Key Inputs'!$C$29:$C$114,$AD12))</f>
        <v>0.33</v>
      </c>
      <c r="J12" s="255">
        <f>IF($AE12="","",SUMIFS('Key Inputs'!$I$29:$I$114,'Key Inputs'!$A$29:$A$114,$AB12,'Key Inputs'!$B$29:$B$114,$AC12,'Key Inputs'!$C$29:$C$114,$AD12)/8760)</f>
        <v>0.11415525114155251</v>
      </c>
      <c r="K12" s="257">
        <f>IF($AE12="","",SUMIFS('Key Inputs'!$H$29:$H$114,'Key Inputs'!$A$29:$A$114,$AB12,'Key Inputs'!$B$29:$B$114,$AC12,'Key Inputs'!$C$29:$C$114,$AD12))</f>
        <v>15</v>
      </c>
      <c r="L12" s="51">
        <f t="shared" si="2"/>
        <v>31.536000000000001</v>
      </c>
      <c r="M12" s="51"/>
      <c r="N12" s="51"/>
      <c r="O12" s="51"/>
      <c r="P12" s="51"/>
      <c r="R12" s="27" t="str">
        <f t="shared" si="11"/>
        <v>PRE</v>
      </c>
      <c r="S12" s="36" t="str">
        <f>IF($AE12="","",_xlfn.TEXTJOIN(",",TRUE,IF(LEFT(Regions!$C$3,1)&lt;&gt;"*",Regions!$C$3,""),IF(LEFT(Regions!$D$3,1)&lt;&gt;"*",Regions!$D$3,"")))</f>
        <v>IE,National</v>
      </c>
      <c r="T12" s="9" t="str">
        <f>IF($AE12="","",CONCATENATE(LEFT(Legend!$C$4),"-",$AH12,"-",$AG12,"_",$AE12,"_X0"))</f>
        <v>S-SH-CS_SOL_X0</v>
      </c>
      <c r="U12" s="9" t="str">
        <f t="shared" si="4"/>
        <v>Commercial Services - Space heating: Solar</v>
      </c>
      <c r="V12" s="9" t="str">
        <f t="shared" si="5"/>
        <v>PJ</v>
      </c>
      <c r="W12" s="9" t="str">
        <f t="shared" si="6"/>
        <v>GW</v>
      </c>
      <c r="X12" s="9" t="str">
        <f t="shared" si="7"/>
        <v>ANNUAL</v>
      </c>
      <c r="Y12" s="9"/>
      <c r="Z12" s="9"/>
      <c r="AB12" s="5" t="str">
        <f>IF('Key Inputs'!A34="","",'Key Inputs'!A34)</f>
        <v>Commercial Services</v>
      </c>
      <c r="AC12" s="5" t="str">
        <f>IF('Key Inputs'!B34="","",'Key Inputs'!B34)</f>
        <v>Space heating</v>
      </c>
      <c r="AD12" s="5" t="str">
        <f>IF('Key Inputs'!C34="","",'Key Inputs'!C34)</f>
        <v>Solar</v>
      </c>
      <c r="AE12" s="5" t="str">
        <f>IF('Key Inputs'!D34="","",'Key Inputs'!D34)</f>
        <v>SOL</v>
      </c>
      <c r="AF12" s="5" t="str">
        <f>IF('Key Inputs'!E34="","",'Key Inputs'!E34)</f>
        <v>SRVSOL</v>
      </c>
      <c r="AG12" s="5" t="str">
        <f>_xlfn.XLOOKUP(AB12,Legend!$A$21:$A$22,Legend!$C$21:$C$22)</f>
        <v>CS</v>
      </c>
      <c r="AH12" s="5" t="str">
        <f>_xlfn.XLOOKUP(AC12,Legend!$A$24:$A$34,Legend!$C$24:$C$34)</f>
        <v>SH</v>
      </c>
      <c r="AI12" s="16">
        <f t="shared" si="9"/>
        <v>0</v>
      </c>
      <c r="AJ12" s="16">
        <f t="shared" si="10"/>
        <v>0</v>
      </c>
    </row>
    <row r="13" spans="1:37" customFormat="1">
      <c r="B13" s="27" t="str">
        <f t="shared" si="3"/>
        <v>IE,National</v>
      </c>
      <c r="C13" s="27" t="str">
        <f t="shared" si="3"/>
        <v>S-SH-CS_ELC-HP_X0</v>
      </c>
      <c r="D13" s="9" t="str">
        <f t="shared" si="0"/>
        <v>Commercial Services - Space heating: Electricity (heat pumps)</v>
      </c>
      <c r="E13" s="43" t="str">
        <f t="shared" si="8"/>
        <v>SRVELC,SRVAHT</v>
      </c>
      <c r="F13" s="43"/>
      <c r="G13" s="9" t="str">
        <f>IF($AE13="","",CONCATENATE(Legend!$C$4,AH13,"-",AG13))</f>
        <v>SRVSH-CS</v>
      </c>
      <c r="H13" s="43">
        <f>IF($AE13="","",SUMIFS('Key Inputs'!$K$29:$K$114,'Key Inputs'!$A$29:$A$114,$AB13,'Key Inputs'!$B$29:$B$114,$AC13,'Key Inputs'!$C$29:$C$114,$AD13))</f>
        <v>0.36416698636504785</v>
      </c>
      <c r="I13" s="255">
        <f>IF($AE13="","",SUMIFS('Key Inputs'!$G$29:$G$114,'Key Inputs'!$A$29:$A$114,$AB13,'Key Inputs'!$B$29:$B$114,$AC13,'Key Inputs'!$C$29:$C$114,$AD13))</f>
        <v>2.1</v>
      </c>
      <c r="J13" s="255">
        <f>IF($AE13="","",SUMIFS('Key Inputs'!$I$29:$I$114,'Key Inputs'!$A$29:$A$114,$AB13,'Key Inputs'!$B$29:$B$114,$AC13,'Key Inputs'!$C$29:$C$114,$AD13)/8760)</f>
        <v>0.11415525114155251</v>
      </c>
      <c r="K13" s="257">
        <f>IF($AE13="","",SUMIFS('Key Inputs'!$H$29:$H$114,'Key Inputs'!$A$29:$A$114,$AB13,'Key Inputs'!$B$29:$B$114,$AC13,'Key Inputs'!$C$29:$C$114,$AD13))</f>
        <v>10</v>
      </c>
      <c r="L13" s="51">
        <f t="shared" si="2"/>
        <v>31.536000000000001</v>
      </c>
      <c r="M13" s="51">
        <f>'Key Inputs'!L35/'Key Inputs'!J35</f>
        <v>0.49987510942049324</v>
      </c>
      <c r="N13" s="51"/>
      <c r="O13" s="51"/>
      <c r="P13" s="51"/>
      <c r="R13" s="27" t="str">
        <f t="shared" si="11"/>
        <v>PRE</v>
      </c>
      <c r="S13" s="36" t="str">
        <f>IF($AE13="","",_xlfn.TEXTJOIN(",",TRUE,IF(LEFT(Regions!$C$3,1)&lt;&gt;"*",Regions!$C$3,""),IF(LEFT(Regions!$D$3,1)&lt;&gt;"*",Regions!$D$3,"")))</f>
        <v>IE,National</v>
      </c>
      <c r="T13" s="9" t="str">
        <f>IF($AE13="","",CONCATENATE(LEFT(Legend!$C$4),"-",$AH13,"-",$AG13,"_",$AE13,"_X0"))</f>
        <v>S-SH-CS_ELC-HP_X0</v>
      </c>
      <c r="U13" s="9" t="str">
        <f t="shared" si="4"/>
        <v>Commercial Services - Space heating: Electricity (heat pumps)</v>
      </c>
      <c r="V13" s="9" t="str">
        <f t="shared" si="5"/>
        <v>PJ</v>
      </c>
      <c r="W13" s="9" t="str">
        <f t="shared" si="6"/>
        <v>GW</v>
      </c>
      <c r="X13" s="9" t="str">
        <f t="shared" si="7"/>
        <v>ANNUAL</v>
      </c>
      <c r="Y13" s="9"/>
      <c r="Z13" s="9"/>
      <c r="AB13" s="5" t="str">
        <f>IF('Key Inputs'!A35="","",'Key Inputs'!A35)</f>
        <v>Commercial Services</v>
      </c>
      <c r="AC13" s="5" t="str">
        <f>IF('Key Inputs'!B35="","",'Key Inputs'!B35)</f>
        <v>Space heating</v>
      </c>
      <c r="AD13" s="5" t="str">
        <f>IF('Key Inputs'!C35="","",'Key Inputs'!C35)</f>
        <v>Electricity (heat pumps)</v>
      </c>
      <c r="AE13" s="5" t="str">
        <f>IF('Key Inputs'!D35="","",'Key Inputs'!D35)</f>
        <v>ELC-HP</v>
      </c>
      <c r="AF13" s="5" t="str">
        <f>IF('Key Inputs'!E35="","",'Key Inputs'!E35)</f>
        <v>SRVELC,SRVAHT</v>
      </c>
      <c r="AG13" s="5" t="str">
        <f>_xlfn.XLOOKUP(AB13,Legend!$A$21:$A$22,Legend!$C$21:$C$22)</f>
        <v>CS</v>
      </c>
      <c r="AH13" s="5" t="str">
        <f>_xlfn.XLOOKUP(AC13,Legend!$A$24:$A$34,Legend!$C$24:$C$34)</f>
        <v>SH</v>
      </c>
      <c r="AI13" s="16">
        <f t="shared" si="9"/>
        <v>0.62428626234008189</v>
      </c>
      <c r="AJ13" s="16">
        <f t="shared" si="10"/>
        <v>1.3110011509141721</v>
      </c>
      <c r="AK13" s="5"/>
    </row>
    <row r="14" spans="1:37">
      <c r="B14" s="27" t="str">
        <f t="shared" si="3"/>
        <v>IE,National</v>
      </c>
      <c r="C14" s="27" t="str">
        <f t="shared" si="3"/>
        <v>S-SH-CS_ELC_X0</v>
      </c>
      <c r="D14" s="9" t="str">
        <f t="shared" si="0"/>
        <v>Commercial Services - Space heating: Electricity (heaters)</v>
      </c>
      <c r="E14" s="43" t="str">
        <f t="shared" si="8"/>
        <v>SRVELC</v>
      </c>
      <c r="F14" s="43"/>
      <c r="G14" s="9" t="str">
        <f>IF($AE14="","",CONCATENATE(Legend!$C$4,AH14,"-",AG14))</f>
        <v>SRVSH-CS</v>
      </c>
      <c r="H14" s="43">
        <f>IF($AE14="","",SUMIFS('Key Inputs'!$K$29:$K$114,'Key Inputs'!$A$29:$A$114,$AB14,'Key Inputs'!$B$29:$B$114,$AC14,'Key Inputs'!$C$29:$C$114,$AD14))</f>
        <v>0.61162944939339081</v>
      </c>
      <c r="I14" s="255">
        <f>IF($AE14="","",SUMIFS('Key Inputs'!$G$29:$G$114,'Key Inputs'!$A$29:$A$114,$AB14,'Key Inputs'!$B$29:$B$114,$AC14,'Key Inputs'!$C$29:$C$114,$AD14))</f>
        <v>0.81595511259153475</v>
      </c>
      <c r="J14" s="255">
        <f>IF($AE14="","",SUMIFS('Key Inputs'!$I$29:$I$114,'Key Inputs'!$A$29:$A$114,$AB14,'Key Inputs'!$B$29:$B$114,$AC14,'Key Inputs'!$C$29:$C$114,$AD14)/8760)</f>
        <v>0.11415525114155251</v>
      </c>
      <c r="K14" s="257">
        <f>IF($AE14="","",SUMIFS('Key Inputs'!$H$29:$H$114,'Key Inputs'!$A$29:$A$114,$AB14,'Key Inputs'!$B$29:$B$114,$AC14,'Key Inputs'!$C$29:$C$114,$AD14))</f>
        <v>10</v>
      </c>
      <c r="L14" s="51">
        <f t="shared" si="2"/>
        <v>31.536000000000001</v>
      </c>
      <c r="M14" s="51"/>
      <c r="N14" s="260"/>
      <c r="O14" s="260"/>
      <c r="P14" s="260"/>
      <c r="R14" s="27" t="str">
        <f t="shared" si="11"/>
        <v>PRE</v>
      </c>
      <c r="S14" s="36" t="str">
        <f>IF($AE14="","",_xlfn.TEXTJOIN(",",TRUE,IF(LEFT(Regions!$C$3,1)&lt;&gt;"*",Regions!$C$3,""),IF(LEFT(Regions!$D$3,1)&lt;&gt;"*",Regions!$D$3,"")))</f>
        <v>IE,National</v>
      </c>
      <c r="T14" s="9" t="str">
        <f>IF($AE14="","",CONCATENATE(LEFT(Legend!$C$4),"-",$AH14,"-",$AG14,"_",$AE14,"_X0"))</f>
        <v>S-SH-CS_ELC_X0</v>
      </c>
      <c r="U14" s="9" t="str">
        <f t="shared" si="4"/>
        <v>Commercial Services - Space heating: Electricity (heaters)</v>
      </c>
      <c r="V14" s="9" t="str">
        <f t="shared" si="5"/>
        <v>PJ</v>
      </c>
      <c r="W14" s="9" t="str">
        <f t="shared" si="6"/>
        <v>GW</v>
      </c>
      <c r="X14" s="9" t="str">
        <f t="shared" si="7"/>
        <v>ANNUAL</v>
      </c>
      <c r="Y14" s="9"/>
      <c r="Z14" s="9"/>
      <c r="AB14" s="5" t="str">
        <f>IF('Key Inputs'!A36="","",'Key Inputs'!A36)</f>
        <v>Commercial Services</v>
      </c>
      <c r="AC14" s="5" t="str">
        <f>IF('Key Inputs'!B36="","",'Key Inputs'!B36)</f>
        <v>Space heating</v>
      </c>
      <c r="AD14" s="5" t="str">
        <f>IF('Key Inputs'!C36="","",'Key Inputs'!C36)</f>
        <v>Electricity (heaters)</v>
      </c>
      <c r="AE14" s="5" t="str">
        <f>IF('Key Inputs'!D36="","",'Key Inputs'!D36)</f>
        <v>ELC</v>
      </c>
      <c r="AF14" s="5" t="str">
        <f>IF('Key Inputs'!E36="","",'Key Inputs'!E36)</f>
        <v>SRVELC</v>
      </c>
      <c r="AG14" s="5" t="str">
        <f>_xlfn.XLOOKUP(AB14,Legend!$A$21:$A$22,Legend!$C$21:$C$22)</f>
        <v>CS</v>
      </c>
      <c r="AH14" s="5" t="str">
        <f>_xlfn.XLOOKUP(AC14,Legend!$A$24:$A$34,Legend!$C$24:$C$34)</f>
        <v>SH</v>
      </c>
      <c r="AI14" s="16">
        <f t="shared" si="9"/>
        <v>2.6985136606631639</v>
      </c>
      <c r="AJ14" s="16">
        <f t="shared" si="10"/>
        <v>2.2018660178162066</v>
      </c>
    </row>
    <row r="15" spans="1:37" s="267" customFormat="1">
      <c r="B15" s="15" t="str">
        <f>IF($AE15="",R15,T15)</f>
        <v>*Commercial Services Water heating</v>
      </c>
      <c r="C15" s="15"/>
      <c r="D15" s="15"/>
      <c r="E15" s="264"/>
      <c r="F15" s="264"/>
      <c r="G15" s="15"/>
      <c r="H15" s="264"/>
      <c r="I15" s="265"/>
      <c r="J15" s="265"/>
      <c r="K15" s="266"/>
      <c r="L15" s="75"/>
      <c r="M15" s="75"/>
      <c r="N15" s="75"/>
      <c r="O15" s="75"/>
      <c r="P15" s="75"/>
      <c r="R15" s="15" t="str">
        <f t="shared" si="11"/>
        <v>*Commercial Services Water heating</v>
      </c>
      <c r="S15" s="36"/>
      <c r="T15" s="9"/>
      <c r="U15" s="15"/>
      <c r="V15" s="15"/>
      <c r="W15" s="15"/>
      <c r="X15" s="15"/>
      <c r="AB15" s="6"/>
      <c r="AC15" s="6"/>
      <c r="AD15" s="6"/>
      <c r="AE15" s="6"/>
      <c r="AF15" s="6"/>
      <c r="AG15" s="6"/>
      <c r="AH15" s="6"/>
      <c r="AI15" s="16"/>
      <c r="AJ15" s="165"/>
      <c r="AK15" s="6"/>
    </row>
    <row r="16" spans="1:37">
      <c r="B16" s="27" t="str">
        <f t="shared" si="3"/>
        <v>IE,National</v>
      </c>
      <c r="C16" s="27" t="str">
        <f t="shared" si="3"/>
        <v>S-WH-CS_COA_X0</v>
      </c>
      <c r="D16" s="9" t="str">
        <f t="shared" si="0"/>
        <v>Commercial Services - Water heating: Solids</v>
      </c>
      <c r="E16" s="43" t="str">
        <f t="shared" si="8"/>
        <v>SRVCOA</v>
      </c>
      <c r="F16" s="43"/>
      <c r="G16" s="9" t="str">
        <f>IF($AE16="","",CONCATENATE(Legend!$C$4,AH16,"-",AG16))</f>
        <v>SRVWH-CS</v>
      </c>
      <c r="H16" s="43">
        <f>IF($AE16="","",SUMIFS('Key Inputs'!$K$29:$K$114,'Key Inputs'!$A$29:$A$114,$AB16,'Key Inputs'!$B$29:$B$114,$AC16,'Key Inputs'!$C$29:$C$114,$AD16))</f>
        <v>0</v>
      </c>
      <c r="I16" s="255">
        <f>IF($AE16="","",SUMIFS('Key Inputs'!$G$29:$G$114,'Key Inputs'!$A$29:$A$114,$AB16,'Key Inputs'!$B$29:$B$114,$AC16,'Key Inputs'!$C$29:$C$114,$AD16))</f>
        <v>0.33</v>
      </c>
      <c r="J16" s="255">
        <f>IF($AE16="","",SUMIFS('Key Inputs'!$I$29:$I$114,'Key Inputs'!$A$29:$A$114,$AB16,'Key Inputs'!$B$29:$B$114,$AC16,'Key Inputs'!$C$29:$C$114,$AD16)/8760)</f>
        <v>2.2831050228310501E-2</v>
      </c>
      <c r="K16" s="257">
        <f>IF($AE16="","",SUMIFS('Key Inputs'!$H$29:$H$114,'Key Inputs'!$A$29:$A$114,$AB16,'Key Inputs'!$B$29:$B$114,$AC16,'Key Inputs'!$C$29:$C$114,$AD16))</f>
        <v>20</v>
      </c>
      <c r="L16" s="51">
        <f t="shared" si="2"/>
        <v>31.536000000000001</v>
      </c>
      <c r="M16" s="51"/>
      <c r="N16" s="51"/>
      <c r="O16" s="51"/>
      <c r="P16" s="51"/>
      <c r="R16" s="27" t="str">
        <f t="shared" si="11"/>
        <v>PRE</v>
      </c>
      <c r="S16" s="36" t="str">
        <f>IF($AE16="","",_xlfn.TEXTJOIN(",",TRUE,IF(LEFT(Regions!$C$3,1)&lt;&gt;"*",Regions!$C$3,""),IF(LEFT(Regions!$D$3,1)&lt;&gt;"*",Regions!$D$3,"")))</f>
        <v>IE,National</v>
      </c>
      <c r="T16" s="9" t="str">
        <f>IF($AE16="","",CONCATENATE(LEFT(Legend!$C$4),"-",$AH16,"-",$AG16,"_",$AE16,"_X0"))</f>
        <v>S-WH-CS_COA_X0</v>
      </c>
      <c r="U16" s="9" t="str">
        <f t="shared" si="4"/>
        <v>Commercial Services - Water heating: Solids</v>
      </c>
      <c r="V16" s="9" t="str">
        <f t="shared" si="5"/>
        <v>PJ</v>
      </c>
      <c r="W16" s="9" t="str">
        <f t="shared" si="6"/>
        <v>GW</v>
      </c>
      <c r="X16" s="9" t="str">
        <f t="shared" si="7"/>
        <v>ANNUAL</v>
      </c>
      <c r="Y16"/>
      <c r="Z16"/>
      <c r="AB16" s="5" t="str">
        <f>IF('Key Inputs'!A38="","",'Key Inputs'!A38)</f>
        <v>Commercial Services</v>
      </c>
      <c r="AC16" s="5" t="str">
        <f>IF('Key Inputs'!B38="","",'Key Inputs'!B38)</f>
        <v>Water heating</v>
      </c>
      <c r="AD16" s="5" t="str">
        <f>IF('Key Inputs'!C38="","",'Key Inputs'!C38)</f>
        <v>Solids</v>
      </c>
      <c r="AE16" s="5" t="str">
        <f>IF('Key Inputs'!D38="","",'Key Inputs'!D38)</f>
        <v>COA</v>
      </c>
      <c r="AF16" s="5" t="str">
        <f>IF('Key Inputs'!E38="","",'Key Inputs'!E38)</f>
        <v>SRVCOA</v>
      </c>
      <c r="AG16" s="5" t="str">
        <f>_xlfn.XLOOKUP(AB16,Legend!$A$21:$A$22,Legend!$C$21:$C$22)</f>
        <v>CS</v>
      </c>
      <c r="AH16" s="5" t="str">
        <f>_xlfn.XLOOKUP(AC16,Legend!$A$24:$A$34,Legend!$C$24:$C$34)</f>
        <v>WH</v>
      </c>
      <c r="AI16" s="16">
        <f t="shared" si="9"/>
        <v>0</v>
      </c>
      <c r="AJ16" s="16">
        <f t="shared" si="10"/>
        <v>0</v>
      </c>
    </row>
    <row r="17" spans="1:36">
      <c r="B17" s="27" t="str">
        <f t="shared" si="3"/>
        <v>IE,National</v>
      </c>
      <c r="C17" s="27" t="str">
        <f t="shared" si="3"/>
        <v>S-WH-CS_LPG_X0</v>
      </c>
      <c r="D17" s="9" t="str">
        <f t="shared" si="0"/>
        <v>Commercial Services - Water heating: LPG</v>
      </c>
      <c r="E17" s="43" t="str">
        <f t="shared" si="8"/>
        <v>SRVLPG</v>
      </c>
      <c r="F17" s="43"/>
      <c r="G17" s="9" t="str">
        <f>IF($AE17="","",CONCATENATE(Legend!$C$4,AH17,"-",AG17))</f>
        <v>SRVWH-CS</v>
      </c>
      <c r="H17" s="43">
        <f>IF($AE17="","",SUMIFS('Key Inputs'!$K$29:$K$114,'Key Inputs'!$A$29:$A$114,$AB17,'Key Inputs'!$B$29:$B$114,$AC17,'Key Inputs'!$C$29:$C$114,$AD17))</f>
        <v>0</v>
      </c>
      <c r="I17" s="255">
        <f>IF($AE17="","",SUMIFS('Key Inputs'!$G$29:$G$114,'Key Inputs'!$A$29:$A$114,$AB17,'Key Inputs'!$B$29:$B$114,$AC17,'Key Inputs'!$C$29:$C$114,$AD17))</f>
        <v>0.33</v>
      </c>
      <c r="J17" s="255">
        <f>IF($AE17="","",SUMIFS('Key Inputs'!$I$29:$I$114,'Key Inputs'!$A$29:$A$114,$AB17,'Key Inputs'!$B$29:$B$114,$AC17,'Key Inputs'!$C$29:$C$114,$AD17)/8760)</f>
        <v>2.2831050228310501E-2</v>
      </c>
      <c r="K17" s="257">
        <f>IF($AE17="","",SUMIFS('Key Inputs'!$H$29:$H$114,'Key Inputs'!$A$29:$A$114,$AB17,'Key Inputs'!$B$29:$B$114,$AC17,'Key Inputs'!$C$29:$C$114,$AD17))</f>
        <v>20</v>
      </c>
      <c r="L17" s="51">
        <f t="shared" si="2"/>
        <v>31.536000000000001</v>
      </c>
      <c r="M17" s="51"/>
      <c r="N17" s="51"/>
      <c r="O17" s="51"/>
      <c r="P17" s="51"/>
      <c r="R17" s="27" t="str">
        <f t="shared" si="11"/>
        <v>PRE</v>
      </c>
      <c r="S17" s="36" t="str">
        <f>IF($AE17="","",_xlfn.TEXTJOIN(",",TRUE,IF(LEFT(Regions!$C$3,1)&lt;&gt;"*",Regions!$C$3,""),IF(LEFT(Regions!$D$3,1)&lt;&gt;"*",Regions!$D$3,"")))</f>
        <v>IE,National</v>
      </c>
      <c r="T17" s="9" t="str">
        <f>IF($AE17="","",CONCATENATE(LEFT(Legend!$C$4),"-",$AH17,"-",$AG17,"_",$AE17,"_X0"))</f>
        <v>S-WH-CS_LPG_X0</v>
      </c>
      <c r="U17" s="9" t="str">
        <f t="shared" si="4"/>
        <v>Commercial Services - Water heating: LPG</v>
      </c>
      <c r="V17" s="9" t="str">
        <f t="shared" si="5"/>
        <v>PJ</v>
      </c>
      <c r="W17" s="9" t="str">
        <f t="shared" si="6"/>
        <v>GW</v>
      </c>
      <c r="X17" s="9" t="str">
        <f t="shared" si="7"/>
        <v>ANNUAL</v>
      </c>
      <c r="Y17"/>
      <c r="Z17"/>
      <c r="AB17" s="5" t="str">
        <f>IF('Key Inputs'!A39="","",'Key Inputs'!A39)</f>
        <v>Commercial Services</v>
      </c>
      <c r="AC17" s="5" t="str">
        <f>IF('Key Inputs'!B39="","",'Key Inputs'!B39)</f>
        <v>Water heating</v>
      </c>
      <c r="AD17" s="5" t="str">
        <f>IF('Key Inputs'!C39="","",'Key Inputs'!C39)</f>
        <v>LPG</v>
      </c>
      <c r="AE17" s="5" t="str">
        <f>IF('Key Inputs'!D39="","",'Key Inputs'!D39)</f>
        <v>LPG</v>
      </c>
      <c r="AF17" s="5" t="str">
        <f>IF('Key Inputs'!E39="","",'Key Inputs'!E39)</f>
        <v>SRVLPG</v>
      </c>
      <c r="AG17" s="5" t="str">
        <f>_xlfn.XLOOKUP(AB17,Legend!$A$21:$A$22,Legend!$C$21:$C$22)</f>
        <v>CS</v>
      </c>
      <c r="AH17" s="5" t="str">
        <f>_xlfn.XLOOKUP(AC17,Legend!$A$24:$A$34,Legend!$C$24:$C$34)</f>
        <v>WH</v>
      </c>
      <c r="AI17" s="16">
        <f t="shared" si="9"/>
        <v>0</v>
      </c>
      <c r="AJ17" s="16">
        <f t="shared" si="10"/>
        <v>0</v>
      </c>
    </row>
    <row r="18" spans="1:36">
      <c r="B18" s="27" t="str">
        <f t="shared" si="3"/>
        <v>IE,National</v>
      </c>
      <c r="C18" s="27" t="str">
        <f t="shared" si="3"/>
        <v>S-WH-CS_OIL_X0</v>
      </c>
      <c r="D18" s="9" t="str">
        <f t="shared" si="0"/>
        <v>Commercial Services - Water heating: Oil</v>
      </c>
      <c r="E18" s="43" t="str">
        <f t="shared" si="8"/>
        <v>SRVOIL</v>
      </c>
      <c r="F18" s="43"/>
      <c r="G18" s="9" t="str">
        <f>IF($AE18="","",CONCATENATE(Legend!$C$4,AH18,"-",AG18))</f>
        <v>SRVWH-CS</v>
      </c>
      <c r="H18" s="43">
        <f>IF($AE18="","",SUMIFS('Key Inputs'!$K$29:$K$114,'Key Inputs'!$A$29:$A$114,$AB18,'Key Inputs'!$B$29:$B$114,$AC18,'Key Inputs'!$C$29:$C$114,$AD18))</f>
        <v>0.53862599647162412</v>
      </c>
      <c r="I18" s="255">
        <f>IF($AE18="","",SUMIFS('Key Inputs'!$G$29:$G$114,'Key Inputs'!$A$29:$A$114,$AB18,'Key Inputs'!$B$29:$B$114,$AC18,'Key Inputs'!$C$29:$C$114,$AD18))</f>
        <v>0.59834963673469854</v>
      </c>
      <c r="J18" s="255">
        <f>IF($AE18="","",SUMIFS('Key Inputs'!$I$29:$I$114,'Key Inputs'!$A$29:$A$114,$AB18,'Key Inputs'!$B$29:$B$114,$AC18,'Key Inputs'!$C$29:$C$114,$AD18)/8760)*1.02</f>
        <v>2.328767123287671E-2</v>
      </c>
      <c r="K18" s="257">
        <f>IF($AE18="","",SUMIFS('Key Inputs'!$H$29:$H$114,'Key Inputs'!$A$29:$A$114,$AB18,'Key Inputs'!$B$29:$B$114,$AC18,'Key Inputs'!$C$29:$C$114,$AD18))</f>
        <v>20</v>
      </c>
      <c r="L18" s="51">
        <f t="shared" si="2"/>
        <v>31.536000000000001</v>
      </c>
      <c r="M18" s="51"/>
      <c r="N18" s="5"/>
      <c r="O18" s="5"/>
      <c r="P18" s="5"/>
      <c r="R18" s="27" t="str">
        <f t="shared" si="11"/>
        <v>PRE</v>
      </c>
      <c r="S18" s="36" t="str">
        <f>IF($AE18="","",_xlfn.TEXTJOIN(",",TRUE,IF(LEFT(Regions!$C$3,1)&lt;&gt;"*",Regions!$C$3,""),IF(LEFT(Regions!$D$3,1)&lt;&gt;"*",Regions!$D$3,"")))</f>
        <v>IE,National</v>
      </c>
      <c r="T18" s="9" t="str">
        <f>IF($AE18="","",CONCATENATE(LEFT(Legend!$C$4),"-",$AH18,"-",$AG18,"_",$AE18,"_X0"))</f>
        <v>S-WH-CS_OIL_X0</v>
      </c>
      <c r="U18" s="9" t="str">
        <f t="shared" si="4"/>
        <v>Commercial Services - Water heating: Oil</v>
      </c>
      <c r="V18" s="9" t="str">
        <f t="shared" si="5"/>
        <v>PJ</v>
      </c>
      <c r="W18" s="9" t="str">
        <f t="shared" si="6"/>
        <v>GW</v>
      </c>
      <c r="X18" s="9" t="str">
        <f t="shared" si="7"/>
        <v>ANNUAL</v>
      </c>
      <c r="Y18"/>
      <c r="Z18"/>
      <c r="AB18" s="5" t="str">
        <f>IF('Key Inputs'!A40="","",'Key Inputs'!A40)</f>
        <v>Commercial Services</v>
      </c>
      <c r="AC18" s="5" t="str">
        <f>IF('Key Inputs'!B40="","",'Key Inputs'!B40)</f>
        <v>Water heating</v>
      </c>
      <c r="AD18" s="5" t="str">
        <f>IF('Key Inputs'!C40="","",'Key Inputs'!C40)</f>
        <v>Oil</v>
      </c>
      <c r="AE18" s="5" t="str">
        <f>IF('Key Inputs'!D40="","",'Key Inputs'!D40)</f>
        <v>OIL</v>
      </c>
      <c r="AF18" s="5" t="str">
        <f>IF('Key Inputs'!E40="","",'Key Inputs'!E40)</f>
        <v>SRVOIL</v>
      </c>
      <c r="AG18" s="5" t="str">
        <f>_xlfn.XLOOKUP(AB18,Legend!$A$21:$A$22,Legend!$C$21:$C$22)</f>
        <v>CS</v>
      </c>
      <c r="AH18" s="5" t="str">
        <f>_xlfn.XLOOKUP(AC18,Legend!$A$24:$A$34,Legend!$C$24:$C$34)</f>
        <v>WH</v>
      </c>
      <c r="AI18" s="16">
        <f t="shared" si="9"/>
        <v>0.66109663568518329</v>
      </c>
      <c r="AJ18" s="16">
        <f t="shared" si="10"/>
        <v>0.39556693180876074</v>
      </c>
    </row>
    <row r="19" spans="1:36">
      <c r="B19" s="27" t="str">
        <f t="shared" si="3"/>
        <v>IE,National</v>
      </c>
      <c r="C19" s="27" t="str">
        <f t="shared" si="3"/>
        <v>S-WH-CS_GAS_X0</v>
      </c>
      <c r="D19" s="9" t="str">
        <f t="shared" si="0"/>
        <v>Commercial Services - Water heating: Natural Gas</v>
      </c>
      <c r="E19" s="43" t="str">
        <f t="shared" si="8"/>
        <v>SRVGAS, SRVBGS</v>
      </c>
      <c r="F19" s="43"/>
      <c r="G19" s="9" t="str">
        <f>IF($AE19="","",CONCATENATE(Legend!$C$4,AH19,"-",AG19))</f>
        <v>SRVWH-CS</v>
      </c>
      <c r="H19" s="43">
        <f>IF($AE19="","",SUMIFS('Key Inputs'!$K$29:$K$114,'Key Inputs'!$A$29:$A$114,$AB19,'Key Inputs'!$B$29:$B$114,$AC19,'Key Inputs'!$C$29:$C$114,$AD19))</f>
        <v>1.367206593331691</v>
      </c>
      <c r="I19" s="255">
        <f>IF($AE19="","",SUMIFS('Key Inputs'!$G$29:$G$114,'Key Inputs'!$A$29:$A$114,$AB19,'Key Inputs'!$B$29:$B$114,$AC19,'Key Inputs'!$C$29:$C$114,$AD19))</f>
        <v>0.63024757853709534</v>
      </c>
      <c r="J19" s="255">
        <f>IF($AE19="","",SUMIFS('Key Inputs'!$I$29:$I$114,'Key Inputs'!$A$29:$A$114,$AB19,'Key Inputs'!$B$29:$B$114,$AC19,'Key Inputs'!$C$29:$C$114,$AD19)/8760)</f>
        <v>2.2831050228310501E-2</v>
      </c>
      <c r="K19" s="257">
        <f>IF($AE19="","",SUMIFS('Key Inputs'!$H$29:$H$114,'Key Inputs'!$A$29:$A$114,$AB19,'Key Inputs'!$B$29:$B$114,$AC19,'Key Inputs'!$C$29:$C$114,$AD19))</f>
        <v>20</v>
      </c>
      <c r="L19" s="51">
        <f t="shared" si="2"/>
        <v>31.536000000000001</v>
      </c>
      <c r="M19" s="51"/>
      <c r="N19" s="71">
        <f>EB_SRV!G41/'Key Inputs'!F41</f>
        <v>0</v>
      </c>
      <c r="O19" s="71">
        <f>N19</f>
        <v>0</v>
      </c>
      <c r="P19" s="58">
        <v>5</v>
      </c>
      <c r="R19" s="27" t="str">
        <f t="shared" si="11"/>
        <v>PRE</v>
      </c>
      <c r="S19" s="36" t="str">
        <f>IF($AE19="","",_xlfn.TEXTJOIN(",",TRUE,IF(LEFT(Regions!$C$3,1)&lt;&gt;"*",Regions!$C$3,""),IF(LEFT(Regions!$D$3,1)&lt;&gt;"*",Regions!$D$3,"")))</f>
        <v>IE,National</v>
      </c>
      <c r="T19" s="9" t="str">
        <f>IF($AE19="","",CONCATENATE(LEFT(Legend!$C$4),"-",$AH19,"-",$AG19,"_",$AE19,"_X0"))</f>
        <v>S-WH-CS_GAS_X0</v>
      </c>
      <c r="U19" s="9" t="str">
        <f t="shared" si="4"/>
        <v>Commercial Services - Water heating: Natural Gas</v>
      </c>
      <c r="V19" s="9" t="str">
        <f t="shared" si="5"/>
        <v>PJ</v>
      </c>
      <c r="W19" s="9" t="str">
        <f t="shared" si="6"/>
        <v>GW</v>
      </c>
      <c r="X19" s="9" t="str">
        <f t="shared" si="7"/>
        <v>ANNUAL</v>
      </c>
      <c r="Y19"/>
      <c r="Z19"/>
      <c r="AB19" s="5" t="str">
        <f>IF('Key Inputs'!A41="","",'Key Inputs'!A41)</f>
        <v>Commercial Services</v>
      </c>
      <c r="AC19" s="5" t="str">
        <f>IF('Key Inputs'!B41="","",'Key Inputs'!B41)</f>
        <v>Water heating</v>
      </c>
      <c r="AD19" s="5" t="str">
        <f>IF('Key Inputs'!C41="","",'Key Inputs'!C41)</f>
        <v>Natural Gas</v>
      </c>
      <c r="AE19" s="5" t="str">
        <f>IF('Key Inputs'!D41="","",'Key Inputs'!D41)</f>
        <v>GAS</v>
      </c>
      <c r="AF19" s="5" t="str">
        <f>IF('Key Inputs'!E41="","",'Key Inputs'!E41)</f>
        <v>SRVGAS, SRVBGS</v>
      </c>
      <c r="AG19" s="5" t="str">
        <f>_xlfn.XLOOKUP(AB19,Legend!$A$21:$A$22,Legend!$C$21:$C$22)</f>
        <v>CS</v>
      </c>
      <c r="AH19" s="5" t="str">
        <f>_xlfn.XLOOKUP(AC19,Legend!$A$24:$A$34,Legend!$C$24:$C$34)</f>
        <v>WH</v>
      </c>
      <c r="AI19" s="16">
        <f t="shared" si="9"/>
        <v>1.5619080195178854</v>
      </c>
      <c r="AJ19" s="16">
        <f t="shared" si="10"/>
        <v>0.98438874719881753</v>
      </c>
    </row>
    <row r="20" spans="1:36">
      <c r="B20" s="27" t="str">
        <f t="shared" si="3"/>
        <v>IE,National</v>
      </c>
      <c r="C20" s="27" t="str">
        <f t="shared" si="3"/>
        <v>S-WH-CS_BIO_X0</v>
      </c>
      <c r="D20" s="9" t="str">
        <f t="shared" si="0"/>
        <v>Commercial Services - Water heating: Biomass</v>
      </c>
      <c r="E20" s="43" t="str">
        <f t="shared" si="8"/>
        <v>SRVBIO</v>
      </c>
      <c r="F20" s="43"/>
      <c r="G20" s="9" t="str">
        <f>IF($AE20="","",CONCATENATE(Legend!$C$4,AH20,"-",AG20))</f>
        <v>SRVWH-CS</v>
      </c>
      <c r="H20" s="43">
        <f>IF($AE20="","",SUMIFS('Key Inputs'!$K$29:$K$114,'Key Inputs'!$A$29:$A$114,$AB20,'Key Inputs'!$B$29:$B$114,$AC20,'Key Inputs'!$C$29:$C$114,$AD20))</f>
        <v>0</v>
      </c>
      <c r="I20" s="255">
        <f>IF($AE20="","",SUMIFS('Key Inputs'!$G$29:$G$114,'Key Inputs'!$A$29:$A$114,$AB20,'Key Inputs'!$B$29:$B$114,$AC20,'Key Inputs'!$C$29:$C$114,$AD20))</f>
        <v>0.33</v>
      </c>
      <c r="J20" s="255">
        <f>IF($AE20="","",SUMIFS('Key Inputs'!$I$29:$I$114,'Key Inputs'!$A$29:$A$114,$AB20,'Key Inputs'!$B$29:$B$114,$AC20,'Key Inputs'!$C$29:$C$114,$AD20)/8760)</f>
        <v>2.2831050228310501E-2</v>
      </c>
      <c r="K20" s="257">
        <f>IF($AE20="","",SUMIFS('Key Inputs'!$H$29:$H$114,'Key Inputs'!$A$29:$A$114,$AB20,'Key Inputs'!$B$29:$B$114,$AC20,'Key Inputs'!$C$29:$C$114,$AD20))</f>
        <v>20</v>
      </c>
      <c r="L20" s="51">
        <f t="shared" si="2"/>
        <v>31.536000000000001</v>
      </c>
      <c r="M20" s="51"/>
      <c r="N20" s="51"/>
      <c r="O20" s="51"/>
      <c r="P20" s="51"/>
      <c r="R20" s="27" t="str">
        <f t="shared" si="11"/>
        <v>PRE</v>
      </c>
      <c r="S20" s="36" t="str">
        <f>IF($AE20="","",_xlfn.TEXTJOIN(",",TRUE,IF(LEFT(Regions!$C$3,1)&lt;&gt;"*",Regions!$C$3,""),IF(LEFT(Regions!$D$3,1)&lt;&gt;"*",Regions!$D$3,"")))</f>
        <v>IE,National</v>
      </c>
      <c r="T20" s="9" t="str">
        <f>IF($AE20="","",CONCATENATE(LEFT(Legend!$C$4),"-",$AH20,"-",$AG20,"_",$AE20,"_X0"))</f>
        <v>S-WH-CS_BIO_X0</v>
      </c>
      <c r="U20" s="9" t="str">
        <f t="shared" si="4"/>
        <v>Commercial Services - Water heating: Biomass</v>
      </c>
      <c r="V20" s="9" t="str">
        <f t="shared" si="5"/>
        <v>PJ</v>
      </c>
      <c r="W20" s="9" t="str">
        <f t="shared" si="6"/>
        <v>GW</v>
      </c>
      <c r="X20" s="9" t="str">
        <f t="shared" si="7"/>
        <v>ANNUAL</v>
      </c>
      <c r="Y20"/>
      <c r="Z20"/>
      <c r="AB20" s="5" t="str">
        <f>IF('Key Inputs'!A42="","",'Key Inputs'!A42)</f>
        <v>Commercial Services</v>
      </c>
      <c r="AC20" s="5" t="str">
        <f>IF('Key Inputs'!B42="","",'Key Inputs'!B42)</f>
        <v>Water heating</v>
      </c>
      <c r="AD20" s="5" t="str">
        <f>IF('Key Inputs'!C42="","",'Key Inputs'!C42)</f>
        <v>Biomass</v>
      </c>
      <c r="AE20" s="5" t="str">
        <f>IF('Key Inputs'!D42="","",'Key Inputs'!D42)</f>
        <v>BIO</v>
      </c>
      <c r="AF20" s="5" t="str">
        <f>IF('Key Inputs'!E42="","",'Key Inputs'!E42)</f>
        <v>SRVBIO</v>
      </c>
      <c r="AG20" s="5" t="str">
        <f>_xlfn.XLOOKUP(AB20,Legend!$A$21:$A$22,Legend!$C$21:$C$22)</f>
        <v>CS</v>
      </c>
      <c r="AH20" s="5" t="str">
        <f>_xlfn.XLOOKUP(AC20,Legend!$A$24:$A$34,Legend!$C$24:$C$34)</f>
        <v>WH</v>
      </c>
      <c r="AI20" s="16">
        <f t="shared" si="9"/>
        <v>0</v>
      </c>
      <c r="AJ20" s="16">
        <f t="shared" si="10"/>
        <v>0</v>
      </c>
    </row>
    <row r="21" spans="1:36">
      <c r="B21" s="27" t="str">
        <f t="shared" si="3"/>
        <v>IE,National</v>
      </c>
      <c r="C21" s="27" t="str">
        <f t="shared" si="3"/>
        <v>S-WH-CS_ELC_X0</v>
      </c>
      <c r="D21" s="9" t="str">
        <f t="shared" si="0"/>
        <v>Commercial Services - Water heating: Electricity</v>
      </c>
      <c r="E21" s="43" t="str">
        <f t="shared" si="8"/>
        <v>SRVELC</v>
      </c>
      <c r="F21" s="43"/>
      <c r="G21" s="9" t="str">
        <f>IF($AE21="","",CONCATENATE(Legend!$C$4,AH21,"-",AG21))</f>
        <v>SRVWH-CS</v>
      </c>
      <c r="H21" s="43">
        <f>IF($AE21="","",SUMIFS('Key Inputs'!$K$29:$K$114,'Key Inputs'!$A$29:$A$114,$AB21,'Key Inputs'!$B$29:$B$114,$AC21,'Key Inputs'!$C$29:$C$114,$AD21))</f>
        <v>1.6567009998202213</v>
      </c>
      <c r="I21" s="255">
        <f>IF($AE21="","",SUMIFS('Key Inputs'!$G$29:$G$114,'Key Inputs'!$A$29:$A$114,$AB21,'Key Inputs'!$B$29:$B$114,$AC21,'Key Inputs'!$C$29:$C$114,$AD21))</f>
        <v>0.7791533881609447</v>
      </c>
      <c r="J21" s="255">
        <f>IF($AE21="","",SUMIFS('Key Inputs'!$I$29:$I$114,'Key Inputs'!$A$29:$A$114,$AB21,'Key Inputs'!$B$29:$B$114,$AC21,'Key Inputs'!$C$29:$C$114,$AD21)/8760)</f>
        <v>2.2831050228310501E-2</v>
      </c>
      <c r="K21" s="257">
        <f>IF($AE21="","",SUMIFS('Key Inputs'!$H$29:$H$114,'Key Inputs'!$A$29:$A$114,$AB21,'Key Inputs'!$B$29:$B$114,$AC21,'Key Inputs'!$C$29:$C$114,$AD21))</f>
        <v>10</v>
      </c>
      <c r="L21" s="51">
        <f t="shared" si="2"/>
        <v>31.536000000000001</v>
      </c>
      <c r="M21" s="51"/>
      <c r="N21" s="51"/>
      <c r="O21" s="51"/>
      <c r="P21" s="51"/>
      <c r="R21" s="27" t="str">
        <f t="shared" si="11"/>
        <v>PRE</v>
      </c>
      <c r="S21" s="36" t="str">
        <f>IF($AE21="","",_xlfn.TEXTJOIN(",",TRUE,IF(LEFT(Regions!$C$3,1)&lt;&gt;"*",Regions!$C$3,""),IF(LEFT(Regions!$D$3,1)&lt;&gt;"*",Regions!$D$3,"")))</f>
        <v>IE,National</v>
      </c>
      <c r="T21" s="9" t="str">
        <f>IF($AE21="","",CONCATENATE(LEFT(Legend!$C$4),"-",$AH21,"-",$AG21,"_",$AE21,"_X0"))</f>
        <v>S-WH-CS_ELC_X0</v>
      </c>
      <c r="U21" s="9" t="str">
        <f t="shared" si="4"/>
        <v>Commercial Services - Water heating: Electricity</v>
      </c>
      <c r="V21" s="9" t="str">
        <f t="shared" si="5"/>
        <v>PJ</v>
      </c>
      <c r="W21" s="9" t="str">
        <f t="shared" si="6"/>
        <v>GW</v>
      </c>
      <c r="X21" s="9" t="str">
        <f t="shared" si="7"/>
        <v>ANNUAL</v>
      </c>
      <c r="Y21"/>
      <c r="Z21"/>
      <c r="AB21" s="5" t="str">
        <f>IF('Key Inputs'!A43="","",'Key Inputs'!A43)</f>
        <v>Commercial Services</v>
      </c>
      <c r="AC21" s="5" t="str">
        <f>IF('Key Inputs'!B43="","",'Key Inputs'!B43)</f>
        <v>Water heating</v>
      </c>
      <c r="AD21" s="5" t="str">
        <f>IF('Key Inputs'!C43="","",'Key Inputs'!C43)</f>
        <v>Electricity</v>
      </c>
      <c r="AE21" s="5" t="str">
        <f>IF('Key Inputs'!D43="","",'Key Inputs'!D43)</f>
        <v>ELC</v>
      </c>
      <c r="AF21" s="5" t="str">
        <f>IF('Key Inputs'!E43="","",'Key Inputs'!E43)</f>
        <v>SRVELC</v>
      </c>
      <c r="AG21" s="5" t="str">
        <f>_xlfn.XLOOKUP(AB21,Legend!$A$21:$A$22,Legend!$C$21:$C$22)</f>
        <v>CS</v>
      </c>
      <c r="AH21" s="5" t="str">
        <f>_xlfn.XLOOKUP(AC21,Legend!$A$24:$A$34,Legend!$C$24:$C$34)</f>
        <v>WH</v>
      </c>
      <c r="AI21" s="16">
        <f t="shared" si="9"/>
        <v>1.5309241261030944</v>
      </c>
      <c r="AJ21" s="16">
        <f t="shared" si="10"/>
        <v>1.1928247198705593</v>
      </c>
    </row>
    <row r="22" spans="1:36">
      <c r="B22" s="27" t="str">
        <f t="shared" si="3"/>
        <v>IE,National</v>
      </c>
      <c r="C22" s="27" t="str">
        <f t="shared" si="3"/>
        <v>S-WH-CS_SOL_X0</v>
      </c>
      <c r="D22" s="9" t="str">
        <f t="shared" si="0"/>
        <v>Commercial Services - Water heating: Solar</v>
      </c>
      <c r="E22" s="43" t="str">
        <f t="shared" si="8"/>
        <v>SRVSOL</v>
      </c>
      <c r="F22" s="43"/>
      <c r="G22" s="9" t="str">
        <f>IF($AE22="","",CONCATENATE(Legend!$C$4,AH22,"-",AG22))</f>
        <v>SRVWH-CS</v>
      </c>
      <c r="H22" s="43">
        <f>IF($AE22="","",SUMIFS('Key Inputs'!$K$29:$K$114,'Key Inputs'!$A$29:$A$114,$AB22,'Key Inputs'!$B$29:$B$114,$AC22,'Key Inputs'!$C$29:$C$114,$AD22))</f>
        <v>9.6816645753665109E-3</v>
      </c>
      <c r="I22" s="255">
        <f>IF($AE22="","",SUMIFS('Key Inputs'!$G$29:$G$114,'Key Inputs'!$A$29:$A$114,$AB22,'Key Inputs'!$B$29:$B$114,$AC22,'Key Inputs'!$C$29:$C$114,$AD22))</f>
        <v>0.99999999999999989</v>
      </c>
      <c r="J22" s="255">
        <f>IF($AE22="","",SUMIFS('Key Inputs'!$I$29:$I$114,'Key Inputs'!$A$29:$A$114,$AB22,'Key Inputs'!$B$29:$B$114,$AC22,'Key Inputs'!$C$29:$C$114,$AD22)/8760)</f>
        <v>2.2831050228310501E-2</v>
      </c>
      <c r="K22" s="257">
        <f>IF($AE22="","",SUMIFS('Key Inputs'!$H$29:$H$114,'Key Inputs'!$A$29:$A$114,$AB22,'Key Inputs'!$B$29:$B$114,$AC22,'Key Inputs'!$C$29:$C$114,$AD22))</f>
        <v>15</v>
      </c>
      <c r="L22" s="51">
        <f t="shared" si="2"/>
        <v>31.536000000000001</v>
      </c>
      <c r="M22" s="51"/>
      <c r="N22" s="51"/>
      <c r="O22" s="51"/>
      <c r="P22" s="51"/>
      <c r="R22" s="27" t="str">
        <f t="shared" si="11"/>
        <v>PRE</v>
      </c>
      <c r="S22" s="36" t="str">
        <f>IF($AE22="","",_xlfn.TEXTJOIN(",",TRUE,IF(LEFT(Regions!$C$3,1)&lt;&gt;"*",Regions!$C$3,""),IF(LEFT(Regions!$D$3,1)&lt;&gt;"*",Regions!$D$3,"")))</f>
        <v>IE,National</v>
      </c>
      <c r="T22" s="9" t="str">
        <f>IF($AE22="","",CONCATENATE(LEFT(Legend!$C$4),"-",$AH22,"-",$AG22,"_",$AE22,"_X0"))</f>
        <v>S-WH-CS_SOL_X0</v>
      </c>
      <c r="U22" s="9" t="str">
        <f t="shared" si="4"/>
        <v>Commercial Services - Water heating: Solar</v>
      </c>
      <c r="V22" s="9" t="str">
        <f t="shared" si="5"/>
        <v>PJ</v>
      </c>
      <c r="W22" s="9" t="str">
        <f t="shared" si="6"/>
        <v>GW</v>
      </c>
      <c r="X22" s="9" t="str">
        <f t="shared" si="7"/>
        <v>ANNUAL</v>
      </c>
      <c r="Y22"/>
      <c r="Z22"/>
      <c r="AB22" s="5" t="str">
        <f>IF('Key Inputs'!A44="","",'Key Inputs'!A44)</f>
        <v>Commercial Services</v>
      </c>
      <c r="AC22" s="5" t="str">
        <f>IF('Key Inputs'!B44="","",'Key Inputs'!B44)</f>
        <v>Water heating</v>
      </c>
      <c r="AD22" s="5" t="str">
        <f>IF('Key Inputs'!C44="","",'Key Inputs'!C44)</f>
        <v>Solar</v>
      </c>
      <c r="AE22" s="5" t="str">
        <f>IF('Key Inputs'!D44="","",'Key Inputs'!D44)</f>
        <v>SOL</v>
      </c>
      <c r="AF22" s="5" t="str">
        <f>IF('Key Inputs'!E44="","",'Key Inputs'!E44)</f>
        <v>SRVSOL</v>
      </c>
      <c r="AG22" s="5" t="str">
        <f>_xlfn.XLOOKUP(AB22,Legend!$A$21:$A$22,Legend!$C$21:$C$22)</f>
        <v>CS</v>
      </c>
      <c r="AH22" s="5" t="str">
        <f>_xlfn.XLOOKUP(AC22,Legend!$A$24:$A$34,Legend!$C$24:$C$34)</f>
        <v>WH</v>
      </c>
      <c r="AI22" s="16">
        <f t="shared" si="9"/>
        <v>6.9707984942638888E-3</v>
      </c>
      <c r="AJ22" s="16">
        <f t="shared" si="10"/>
        <v>6.9707984942638879E-3</v>
      </c>
    </row>
    <row r="23" spans="1:36" s="6" customFormat="1">
      <c r="A23" s="15"/>
      <c r="B23" s="15" t="str">
        <f>IF($AE23="",R23,T23)</f>
        <v>*Commercial Services Space cooling</v>
      </c>
      <c r="C23" s="15"/>
      <c r="D23" s="15"/>
      <c r="E23" s="264"/>
      <c r="F23" s="264"/>
      <c r="G23" s="15"/>
      <c r="H23" s="264"/>
      <c r="I23" s="265"/>
      <c r="J23" s="265"/>
      <c r="K23" s="266"/>
      <c r="L23" s="75"/>
      <c r="M23" s="75"/>
      <c r="N23" s="15"/>
      <c r="O23" s="15"/>
      <c r="P23" s="15"/>
      <c r="Q23" s="267"/>
      <c r="R23" s="15" t="str">
        <f t="shared" si="11"/>
        <v>*Commercial Services Space cooling</v>
      </c>
      <c r="S23" s="36"/>
      <c r="T23" s="15"/>
      <c r="U23" s="15"/>
      <c r="V23" s="15"/>
      <c r="W23" s="15"/>
      <c r="X23" s="15"/>
      <c r="Y23" s="267"/>
      <c r="Z23" s="267"/>
      <c r="AA23" s="267"/>
      <c r="AI23" s="16"/>
      <c r="AJ23" s="165"/>
    </row>
    <row r="24" spans="1:36">
      <c r="B24" s="27" t="str">
        <f t="shared" si="3"/>
        <v>IE,National</v>
      </c>
      <c r="C24" s="27" t="str">
        <f t="shared" si="3"/>
        <v>S-SC-CS_GAS_X0</v>
      </c>
      <c r="D24" s="9" t="str">
        <f t="shared" si="0"/>
        <v>Commercial Services - Space cooling: Natural Gas</v>
      </c>
      <c r="E24" s="43" t="str">
        <f t="shared" si="8"/>
        <v>SRVGAS</v>
      </c>
      <c r="F24" s="43"/>
      <c r="G24" s="9" t="str">
        <f>IF($AE24="","",CONCATENATE(Legend!$C$4,AH24,"-",AG24))</f>
        <v>SRVSC-CS</v>
      </c>
      <c r="H24" s="43">
        <f>IF($AE24="","",SUMIFS('Key Inputs'!$K$29:$K$114,'Key Inputs'!$A$29:$A$114,$AB24,'Key Inputs'!$B$29:$B$114,$AC24,'Key Inputs'!$C$29:$C$114,$AD24))</f>
        <v>1.3041688987804107E-2</v>
      </c>
      <c r="I24" s="255">
        <f>IF($AE24="","",SUMIFS('Key Inputs'!$G$29:$G$114,'Key Inputs'!$A$29:$A$114,$AB24,'Key Inputs'!$B$29:$B$114,$AC24,'Key Inputs'!$C$29:$C$114,$AD24))</f>
        <v>2.7679848891515557</v>
      </c>
      <c r="J24" s="255">
        <f>IF($AE24="","",SUMIFS('Key Inputs'!$I$29:$I$114,'Key Inputs'!$A$29:$A$114,$AB24,'Key Inputs'!$B$29:$B$114,$AC24,'Key Inputs'!$C$29:$C$114,$AD24)/8760)</f>
        <v>3.4246575342465752E-2</v>
      </c>
      <c r="K24" s="257">
        <f>IF($AE24="","",SUMIFS('Key Inputs'!$H$29:$H$114,'Key Inputs'!$A$29:$A$114,$AB24,'Key Inputs'!$B$29:$B$114,$AC24,'Key Inputs'!$C$29:$C$114,$AD24))</f>
        <v>15</v>
      </c>
      <c r="L24" s="51">
        <f t="shared" si="2"/>
        <v>31.536000000000001</v>
      </c>
      <c r="M24" s="51"/>
      <c r="R24" s="27" t="str">
        <f t="shared" si="11"/>
        <v>PRE</v>
      </c>
      <c r="S24" s="36" t="str">
        <f>IF($AE24="","",_xlfn.TEXTJOIN(",",TRUE,IF(LEFT(Regions!$C$3,1)&lt;&gt;"*",Regions!$C$3,""),IF(LEFT(Regions!$D$3,1)&lt;&gt;"*",Regions!$D$3,"")))</f>
        <v>IE,National</v>
      </c>
      <c r="T24" s="9" t="str">
        <f>IF($AE24="","",CONCATENATE(LEFT(Legend!$C$4),"-",$AH24,"-",$AG24,"_",$AE24,"_X0"))</f>
        <v>S-SC-CS_GAS_X0</v>
      </c>
      <c r="U24" s="9" t="str">
        <f t="shared" si="4"/>
        <v>Commercial Services - Space cooling: Natural Gas</v>
      </c>
      <c r="V24" s="9" t="str">
        <f t="shared" si="5"/>
        <v>PJ</v>
      </c>
      <c r="W24" s="9" t="str">
        <f t="shared" si="6"/>
        <v>GW</v>
      </c>
      <c r="X24" s="9" t="str">
        <f t="shared" si="7"/>
        <v>ANNUAL</v>
      </c>
      <c r="Y24"/>
      <c r="Z24"/>
      <c r="AB24" s="5" t="str">
        <f>IF('Key Inputs'!A46="","",'Key Inputs'!A46)</f>
        <v>Commercial Services</v>
      </c>
      <c r="AC24" s="5" t="str">
        <f>IF('Key Inputs'!B46="","",'Key Inputs'!B46)</f>
        <v>Space cooling</v>
      </c>
      <c r="AD24" s="5" t="str">
        <f>IF('Key Inputs'!C46="","",'Key Inputs'!C46)</f>
        <v>Natural Gas</v>
      </c>
      <c r="AE24" s="5" t="str">
        <f>IF('Key Inputs'!D46="","",'Key Inputs'!D46)</f>
        <v>GAS</v>
      </c>
      <c r="AF24" s="5" t="str">
        <f>IF('Key Inputs'!E46="","",'Key Inputs'!E46)</f>
        <v>SRVGAS</v>
      </c>
      <c r="AG24" s="5" t="str">
        <f>_xlfn.XLOOKUP(AB24,Legend!$A$21:$A$22,Legend!$C$21:$C$22)</f>
        <v>CS</v>
      </c>
      <c r="AH24" s="5" t="str">
        <f>_xlfn.XLOOKUP(AC24,Legend!$A$24:$A$34,Legend!$C$24:$C$34)</f>
        <v>SC</v>
      </c>
      <c r="AI24" s="16">
        <f t="shared" si="9"/>
        <v>5.0885480488102606E-3</v>
      </c>
      <c r="AJ24" s="16">
        <f t="shared" si="10"/>
        <v>1.4085024106828435E-2</v>
      </c>
    </row>
    <row r="25" spans="1:36">
      <c r="B25" s="34" t="str">
        <f t="shared" si="3"/>
        <v>IE,National</v>
      </c>
      <c r="C25" s="34" t="str">
        <f t="shared" si="3"/>
        <v>S-SC-CS_ELC_X0</v>
      </c>
      <c r="D25" s="14" t="str">
        <f t="shared" si="0"/>
        <v>Commercial Services - Space cooling: Electricity</v>
      </c>
      <c r="E25" s="77" t="str">
        <f t="shared" si="8"/>
        <v>SRVELC</v>
      </c>
      <c r="F25" s="77"/>
      <c r="G25" s="14" t="str">
        <f>IF($AE25="","",CONCATENATE(Legend!$C$4,AH25,"-",AG25))</f>
        <v>SRVSC-CS</v>
      </c>
      <c r="H25" s="77">
        <f>IF($AE25="","",SUMIFS('Key Inputs'!$K$29:$K$114,'Key Inputs'!$A$29:$A$114,$AB25,'Key Inputs'!$B$29:$B$114,$AC25,'Key Inputs'!$C$29:$C$114,$AD25))</f>
        <v>3.4152372110483191</v>
      </c>
      <c r="I25" s="262">
        <f>IF($AE25="","",SUMIFS('Key Inputs'!$G$29:$G$114,'Key Inputs'!$A$29:$A$114,$AB25,'Key Inputs'!$B$29:$B$114,$AC25,'Key Inputs'!$C$29:$C$114,$AD25))</f>
        <v>2.7466471585410193</v>
      </c>
      <c r="J25" s="262">
        <f>IF($AE25="","",SUMIFS('Key Inputs'!$I$29:$I$114,'Key Inputs'!$A$29:$A$114,$AB25,'Key Inputs'!$B$29:$B$114,$AC25,'Key Inputs'!$C$29:$C$114,$AD25)/8760)</f>
        <v>3.4246575342465752E-2</v>
      </c>
      <c r="K25" s="263">
        <f>IF($AE25="","",SUMIFS('Key Inputs'!$H$29:$H$114,'Key Inputs'!$A$29:$A$114,$AB25,'Key Inputs'!$B$29:$B$114,$AC25,'Key Inputs'!$C$29:$C$114,$AD25))</f>
        <v>15</v>
      </c>
      <c r="L25" s="153">
        <f t="shared" si="2"/>
        <v>31.536000000000001</v>
      </c>
      <c r="M25" s="153"/>
      <c r="N25" s="73"/>
      <c r="O25" s="73"/>
      <c r="P25" s="73"/>
      <c r="R25" s="34" t="str">
        <f t="shared" si="11"/>
        <v>PRE</v>
      </c>
      <c r="S25" s="46" t="str">
        <f>IF($AE25="","",_xlfn.TEXTJOIN(",",TRUE,IF(LEFT(Regions!$C$3,1)&lt;&gt;"*",Regions!$C$3,""),IF(LEFT(Regions!$D$3,1)&lt;&gt;"*",Regions!$D$3,"")))</f>
        <v>IE,National</v>
      </c>
      <c r="T25" s="14" t="str">
        <f>IF($AE25="","",CONCATENATE(LEFT(Legend!$C$4),"-",$AH25,"-",$AG25,"_",$AE25,"_X0"))</f>
        <v>S-SC-CS_ELC_X0</v>
      </c>
      <c r="U25" s="14" t="str">
        <f t="shared" si="4"/>
        <v>Commercial Services - Space cooling: Electricity</v>
      </c>
      <c r="V25" s="14" t="str">
        <f t="shared" si="5"/>
        <v>PJ</v>
      </c>
      <c r="W25" s="14" t="str">
        <f t="shared" si="6"/>
        <v>GW</v>
      </c>
      <c r="X25" s="14" t="str">
        <f t="shared" si="7"/>
        <v>ANNUAL</v>
      </c>
      <c r="Y25" s="73"/>
      <c r="Z25" s="73"/>
      <c r="AB25" s="5" t="str">
        <f>IF('Key Inputs'!A47="","",'Key Inputs'!A47)</f>
        <v>Commercial Services</v>
      </c>
      <c r="AC25" s="5" t="str">
        <f>IF('Key Inputs'!B47="","",'Key Inputs'!B47)</f>
        <v>Space cooling</v>
      </c>
      <c r="AD25" s="5" t="str">
        <f>IF('Key Inputs'!C47="","",'Key Inputs'!C47)</f>
        <v>Electricity</v>
      </c>
      <c r="AE25" s="5" t="str">
        <f>IF('Key Inputs'!D47="","",'Key Inputs'!D47)</f>
        <v>ELC</v>
      </c>
      <c r="AF25" s="5" t="str">
        <f>IF('Key Inputs'!E47="","",'Key Inputs'!E47)</f>
        <v>SRVELC</v>
      </c>
      <c r="AG25" s="5" t="str">
        <f>_xlfn.XLOOKUP(AB25,Legend!$A$21:$A$22,Legend!$C$21:$C$22)</f>
        <v>CS</v>
      </c>
      <c r="AH25" s="5" t="str">
        <f>_xlfn.XLOOKUP(AC25,Legend!$A$24:$A$34,Legend!$C$24:$C$34)</f>
        <v>SC</v>
      </c>
      <c r="AI25" s="16">
        <f t="shared" si="9"/>
        <v>1.3428940723101255</v>
      </c>
      <c r="AJ25" s="16">
        <f t="shared" si="10"/>
        <v>3.6884561879321844</v>
      </c>
    </row>
    <row r="26" spans="1:36" s="6" customFormat="1">
      <c r="A26" s="15"/>
      <c r="B26" s="15" t="str">
        <f>IF($AE26="",R26,T26)</f>
        <v>*Public Services Space heating</v>
      </c>
      <c r="C26" s="15"/>
      <c r="D26" s="15"/>
      <c r="E26" s="264"/>
      <c r="F26" s="264"/>
      <c r="G26" s="15"/>
      <c r="H26" s="264"/>
      <c r="I26" s="265"/>
      <c r="J26" s="265"/>
      <c r="K26" s="266"/>
      <c r="L26" s="75"/>
      <c r="M26" s="75"/>
      <c r="N26" s="267"/>
      <c r="O26" s="267"/>
      <c r="P26" s="267"/>
      <c r="Q26" s="267"/>
      <c r="R26" s="15" t="str">
        <f t="shared" si="11"/>
        <v>*Public Services Space heating</v>
      </c>
      <c r="S26" s="36"/>
      <c r="T26" s="15"/>
      <c r="U26" s="15"/>
      <c r="V26" s="15"/>
      <c r="W26" s="15"/>
      <c r="X26" s="15"/>
      <c r="Y26" s="15"/>
      <c r="Z26" s="15"/>
      <c r="AA26" s="267"/>
      <c r="AI26" s="16"/>
      <c r="AJ26" s="16"/>
    </row>
    <row r="27" spans="1:36">
      <c r="B27" s="27" t="str">
        <f t="shared" si="3"/>
        <v>IE,National</v>
      </c>
      <c r="C27" s="27" t="str">
        <f t="shared" si="3"/>
        <v>S-SH-PU_COA_X0</v>
      </c>
      <c r="D27" s="9" t="str">
        <f t="shared" si="0"/>
        <v>Public Services - Space heating: Solids</v>
      </c>
      <c r="E27" s="43" t="str">
        <f t="shared" si="8"/>
        <v>SRVCOA</v>
      </c>
      <c r="F27" s="43"/>
      <c r="G27" s="9" t="str">
        <f>IF($AE27="","",CONCATENATE(Legend!$C$4,AH27,"-",AG27))</f>
        <v>SRVSH-PU</v>
      </c>
      <c r="H27" s="43">
        <f>IF($AE27="","",SUMIFS('Key Inputs'!$K$29:$K$114,'Key Inputs'!$A$29:$A$114,$AB27,'Key Inputs'!$B$29:$B$114,$AC27,'Key Inputs'!$C$29:$C$114,$AD27))</f>
        <v>7.6746457443609014E-6</v>
      </c>
      <c r="I27" s="255">
        <f>IF($AE27="","",SUMIFS('Key Inputs'!$G$29:$G$114,'Key Inputs'!$A$29:$A$114,$AB27,'Key Inputs'!$B$29:$B$114,$AC27,'Key Inputs'!$C$29:$C$114,$AD27))</f>
        <v>0.33</v>
      </c>
      <c r="J27" s="255">
        <f>IF($AE27="","",SUMIFS('Key Inputs'!$I$29:$I$114,'Key Inputs'!$A$29:$A$114,$AB27,'Key Inputs'!$B$29:$B$114,$AC27,'Key Inputs'!$C$29:$C$114,$AD27)/8760)</f>
        <v>0.11415525114155251</v>
      </c>
      <c r="K27" s="257">
        <f>IF($AE27="","",SUMIFS('Key Inputs'!$H$29:$H$114,'Key Inputs'!$A$29:$A$114,$AB27,'Key Inputs'!$B$29:$B$114,$AC27,'Key Inputs'!$C$29:$C$114,$AD27))</f>
        <v>20</v>
      </c>
      <c r="L27" s="51">
        <f t="shared" si="2"/>
        <v>31.536000000000001</v>
      </c>
      <c r="M27" s="51"/>
      <c r="R27" s="27" t="str">
        <f t="shared" si="11"/>
        <v>PRE</v>
      </c>
      <c r="S27" s="36" t="str">
        <f>IF($AE27="","",_xlfn.TEXTJOIN(",",TRUE,IF(LEFT(Regions!$C$3,1)&lt;&gt;"*",Regions!$C$3,""),IF(LEFT(Regions!$D$3,1)&lt;&gt;"*",Regions!$D$3,"")))</f>
        <v>IE,National</v>
      </c>
      <c r="T27" s="9" t="str">
        <f>IF($AE27="","",CONCATENATE(LEFT(Legend!$C$4),"-",$AH27,"-",$AG27,"_",$AE27,"_X0"))</f>
        <v>S-SH-PU_COA_X0</v>
      </c>
      <c r="U27" s="9" t="str">
        <f t="shared" si="4"/>
        <v>Public Services - Space heating: Solids</v>
      </c>
      <c r="V27" s="9" t="str">
        <f t="shared" si="5"/>
        <v>PJ</v>
      </c>
      <c r="W27" s="9" t="str">
        <f t="shared" si="6"/>
        <v>GW</v>
      </c>
      <c r="X27" s="9" t="str">
        <f t="shared" si="7"/>
        <v>ANNUAL</v>
      </c>
      <c r="Y27" s="9"/>
      <c r="Z27" s="9"/>
      <c r="AB27" s="5" t="str">
        <f>IF('Key Inputs'!A49="","",'Key Inputs'!A49)</f>
        <v>Public Services</v>
      </c>
      <c r="AC27" s="5" t="str">
        <f>IF('Key Inputs'!B49="","",'Key Inputs'!B49)</f>
        <v>Space heating</v>
      </c>
      <c r="AD27" s="5" t="str">
        <f>IF('Key Inputs'!C49="","",'Key Inputs'!C49)</f>
        <v>Solids</v>
      </c>
      <c r="AE27" s="5" t="str">
        <f>IF('Key Inputs'!D49="","",'Key Inputs'!D49)</f>
        <v>COA</v>
      </c>
      <c r="AF27" s="5" t="str">
        <f>IF('Key Inputs'!E49="","",'Key Inputs'!E49)</f>
        <v>SRVCOA</v>
      </c>
      <c r="AG27" s="5" t="str">
        <f>_xlfn.XLOOKUP(AB27,Legend!$A$21:$A$22,Legend!$C$21:$C$22)</f>
        <v>PU</v>
      </c>
      <c r="AH27" s="5" t="str">
        <f>_xlfn.XLOOKUP(AC27,Legend!$A$24:$A$34,Legend!$C$24:$C$34)</f>
        <v>SH</v>
      </c>
      <c r="AI27" s="16">
        <f t="shared" si="9"/>
        <v>8.3723408120300736E-5</v>
      </c>
      <c r="AJ27" s="16">
        <f t="shared" si="10"/>
        <v>2.7628724679699245E-5</v>
      </c>
    </row>
    <row r="28" spans="1:36">
      <c r="B28" s="27" t="str">
        <f t="shared" si="3"/>
        <v>IE,National</v>
      </c>
      <c r="C28" s="27" t="str">
        <f t="shared" si="3"/>
        <v>S-SH-PU_LPG_X0</v>
      </c>
      <c r="D28" s="9" t="str">
        <f t="shared" si="0"/>
        <v>Public Services - Space heating: LPG</v>
      </c>
      <c r="E28" s="43" t="str">
        <f t="shared" si="8"/>
        <v>SRVLPG</v>
      </c>
      <c r="F28" s="43"/>
      <c r="G28" s="9" t="str">
        <f>IF($AE28="","",CONCATENATE(Legend!$C$4,AH28,"-",AG28))</f>
        <v>SRVSH-PU</v>
      </c>
      <c r="H28" s="43">
        <f>IF($AE28="","",SUMIFS('Key Inputs'!$K$29:$K$114,'Key Inputs'!$A$29:$A$114,$AB28,'Key Inputs'!$B$29:$B$114,$AC28,'Key Inputs'!$C$29:$C$114,$AD28))</f>
        <v>0</v>
      </c>
      <c r="I28" s="255">
        <f>IF($AE28="","",SUMIFS('Key Inputs'!$G$29:$G$114,'Key Inputs'!$A$29:$A$114,$AB28,'Key Inputs'!$B$29:$B$114,$AC28,'Key Inputs'!$C$29:$C$114,$AD28))</f>
        <v>0.33</v>
      </c>
      <c r="J28" s="255">
        <f>IF($AE28="","",SUMIFS('Key Inputs'!$I$29:$I$114,'Key Inputs'!$A$29:$A$114,$AB28,'Key Inputs'!$B$29:$B$114,$AC28,'Key Inputs'!$C$29:$C$114,$AD28)/8760)</f>
        <v>0.11415525114155251</v>
      </c>
      <c r="K28" s="257">
        <f>IF($AE28="","",SUMIFS('Key Inputs'!$H$29:$H$114,'Key Inputs'!$A$29:$A$114,$AB28,'Key Inputs'!$B$29:$B$114,$AC28,'Key Inputs'!$C$29:$C$114,$AD28))</f>
        <v>20</v>
      </c>
      <c r="L28" s="51">
        <f t="shared" si="2"/>
        <v>31.536000000000001</v>
      </c>
      <c r="M28" s="51"/>
      <c r="R28" s="27" t="str">
        <f t="shared" si="11"/>
        <v>PRE</v>
      </c>
      <c r="S28" s="36" t="str">
        <f>IF($AE28="","",_xlfn.TEXTJOIN(",",TRUE,IF(LEFT(Regions!$C$3,1)&lt;&gt;"*",Regions!$C$3,""),IF(LEFT(Regions!$D$3,1)&lt;&gt;"*",Regions!$D$3,"")))</f>
        <v>IE,National</v>
      </c>
      <c r="T28" s="9" t="str">
        <f>IF($AE28="","",CONCATENATE(LEFT(Legend!$C$4),"-",$AH28,"-",$AG28,"_",$AE28,"_X0"))</f>
        <v>S-SH-PU_LPG_X0</v>
      </c>
      <c r="U28" s="9" t="str">
        <f t="shared" si="4"/>
        <v>Public Services - Space heating: LPG</v>
      </c>
      <c r="V28" s="9" t="str">
        <f t="shared" si="5"/>
        <v>PJ</v>
      </c>
      <c r="W28" s="9" t="str">
        <f t="shared" si="6"/>
        <v>GW</v>
      </c>
      <c r="X28" s="9" t="str">
        <f t="shared" si="7"/>
        <v>ANNUAL</v>
      </c>
      <c r="Y28" s="9"/>
      <c r="Z28" s="9"/>
      <c r="AB28" s="5" t="str">
        <f>IF('Key Inputs'!A50="","",'Key Inputs'!A50)</f>
        <v>Public Services</v>
      </c>
      <c r="AC28" s="5" t="str">
        <f>IF('Key Inputs'!B50="","",'Key Inputs'!B50)</f>
        <v>Space heating</v>
      </c>
      <c r="AD28" s="5" t="str">
        <f>IF('Key Inputs'!C50="","",'Key Inputs'!C50)</f>
        <v>LPG</v>
      </c>
      <c r="AE28" s="5" t="str">
        <f>IF('Key Inputs'!D50="","",'Key Inputs'!D50)</f>
        <v>LPG</v>
      </c>
      <c r="AF28" s="5" t="str">
        <f>IF('Key Inputs'!E50="","",'Key Inputs'!E50)</f>
        <v>SRVLPG</v>
      </c>
      <c r="AG28" s="5" t="str">
        <f>_xlfn.XLOOKUP(AB28,Legend!$A$21:$A$22,Legend!$C$21:$C$22)</f>
        <v>PU</v>
      </c>
      <c r="AH28" s="5" t="str">
        <f>_xlfn.XLOOKUP(AC28,Legend!$A$24:$A$34,Legend!$C$24:$C$34)</f>
        <v>SH</v>
      </c>
      <c r="AI28" s="16">
        <f t="shared" si="9"/>
        <v>0</v>
      </c>
      <c r="AJ28" s="16">
        <f t="shared" si="10"/>
        <v>0</v>
      </c>
    </row>
    <row r="29" spans="1:36">
      <c r="B29" s="27" t="str">
        <f t="shared" si="3"/>
        <v>IE,National</v>
      </c>
      <c r="C29" s="27" t="str">
        <f t="shared" si="3"/>
        <v>S-SH-PU_OIL_X0</v>
      </c>
      <c r="D29" s="9" t="str">
        <f t="shared" si="0"/>
        <v>Public Services - Space heating: Oil</v>
      </c>
      <c r="E29" s="43" t="str">
        <f t="shared" si="8"/>
        <v>SRVOIL</v>
      </c>
      <c r="F29" s="43"/>
      <c r="G29" s="9" t="str">
        <f>IF($AE29="","",CONCATENATE(Legend!$C$4,AH29,"-",AG29))</f>
        <v>SRVSH-PU</v>
      </c>
      <c r="H29" s="43">
        <f>IF($AE29="","",SUMIFS('Key Inputs'!$K$29:$K$114,'Key Inputs'!$A$29:$A$114,$AB29,'Key Inputs'!$B$29:$B$114,$AC29,'Key Inputs'!$C$29:$C$114,$AD29))</f>
        <v>0.59300198813789318</v>
      </c>
      <c r="I29" s="255">
        <f>IF($AE29="","",SUMIFS('Key Inputs'!$G$29:$G$114,'Key Inputs'!$A$29:$A$114,$AB29,'Key Inputs'!$B$29:$B$114,$AC29,'Key Inputs'!$C$29:$C$114,$AD29))</f>
        <v>0.6583558448972523</v>
      </c>
      <c r="J29" s="255">
        <f>IF($AE29="","",SUMIFS('Key Inputs'!$I$29:$I$114,'Key Inputs'!$A$29:$A$114,$AB29,'Key Inputs'!$B$29:$B$114,$AC29,'Key Inputs'!$C$29:$C$114,$AD29)/8760)</f>
        <v>0.11415525114155251</v>
      </c>
      <c r="K29" s="257">
        <f>IF($AE29="","",SUMIFS('Key Inputs'!$H$29:$H$114,'Key Inputs'!$A$29:$A$114,$AB29,'Key Inputs'!$B$29:$B$114,$AC29,'Key Inputs'!$C$29:$C$114,$AD29))</f>
        <v>20</v>
      </c>
      <c r="L29" s="51">
        <f t="shared" si="2"/>
        <v>31.536000000000001</v>
      </c>
      <c r="M29" s="51"/>
      <c r="R29" s="27" t="str">
        <f>IF($AE29="","*"&amp;#REF!&amp;" "&amp;#REF!,"PRE")</f>
        <v>PRE</v>
      </c>
      <c r="S29" s="36" t="str">
        <f>IF($AE29="","",_xlfn.TEXTJOIN(",",TRUE,IF(LEFT(Regions!$C$3,1)&lt;&gt;"*",Regions!$C$3,""),IF(LEFT(Regions!$D$3,1)&lt;&gt;"*",Regions!$D$3,"")))</f>
        <v>IE,National</v>
      </c>
      <c r="T29" s="9" t="str">
        <f>IF($AE29="","",CONCATENATE(LEFT(Legend!$C$4),"-",$AH29,"-",$AG29,"_",$AE29,"_X0"))</f>
        <v>S-SH-PU_OIL_X0</v>
      </c>
      <c r="U29" s="9" t="str">
        <f t="shared" si="4"/>
        <v>Public Services - Space heating: Oil</v>
      </c>
      <c r="V29" s="9" t="str">
        <f t="shared" si="5"/>
        <v>PJ</v>
      </c>
      <c r="W29" s="9" t="str">
        <f t="shared" si="6"/>
        <v>GW</v>
      </c>
      <c r="X29" s="9" t="str">
        <f t="shared" si="7"/>
        <v>ANNUAL</v>
      </c>
      <c r="Y29" s="9"/>
      <c r="Z29" s="9"/>
      <c r="AB29" s="5" t="str">
        <f>IF('Key Inputs'!A51="","",'Key Inputs'!A51)</f>
        <v>Public Services</v>
      </c>
      <c r="AC29" s="5" t="str">
        <f>IF('Key Inputs'!B51="","",'Key Inputs'!B51)</f>
        <v>Space heating</v>
      </c>
      <c r="AD29" s="5" t="str">
        <f>IF('Key Inputs'!C51="","",'Key Inputs'!C51)</f>
        <v>Oil</v>
      </c>
      <c r="AE29" s="5" t="str">
        <f>IF('Key Inputs'!D51="","",'Key Inputs'!D51)</f>
        <v>OIL</v>
      </c>
      <c r="AF29" s="5" t="str">
        <f>IF('Key Inputs'!E51="","",'Key Inputs'!E51)</f>
        <v>SRVOIL</v>
      </c>
      <c r="AG29" s="5" t="str">
        <f>_xlfn.XLOOKUP(AB29,Legend!$A$21:$A$22,Legend!$C$21:$C$22)</f>
        <v>PU</v>
      </c>
      <c r="AH29" s="5" t="str">
        <f>_xlfn.XLOOKUP(AC29,Legend!$A$24:$A$34,Legend!$C$24:$C$34)</f>
        <v>SH</v>
      </c>
      <c r="AI29" s="16">
        <f t="shared" si="9"/>
        <v>3.2426341678937907</v>
      </c>
      <c r="AJ29" s="16">
        <f t="shared" si="10"/>
        <v>2.1348071572964153</v>
      </c>
    </row>
    <row r="30" spans="1:36">
      <c r="B30" s="27" t="str">
        <f t="shared" si="3"/>
        <v>IE,National</v>
      </c>
      <c r="C30" s="27" t="str">
        <f t="shared" si="3"/>
        <v>S-SH-PU_GAS_X0</v>
      </c>
      <c r="D30" s="9" t="str">
        <f t="shared" si="0"/>
        <v>Public Services - Space heating: Natural Gas</v>
      </c>
      <c r="E30" s="43" t="str">
        <f t="shared" si="8"/>
        <v>SRVGAS, SRVBGS</v>
      </c>
      <c r="F30" s="43"/>
      <c r="G30" s="9" t="str">
        <f>IF($AE30="","",CONCATENATE(Legend!$C$4,AH30,"-",AG30))</f>
        <v>SRVSH-PU</v>
      </c>
      <c r="H30" s="43">
        <f>IF($AE30="","",SUMIFS('Key Inputs'!$K$29:$K$114,'Key Inputs'!$A$29:$A$114,$AB30,'Key Inputs'!$B$29:$B$114,$AC30,'Key Inputs'!$C$29:$C$114,$AD30))</f>
        <v>0.70343989656981387</v>
      </c>
      <c r="I30" s="255">
        <f>IF($AE30="","",SUMIFS('Key Inputs'!$G$29:$G$114,'Key Inputs'!$A$29:$A$114,$AB30,'Key Inputs'!$B$29:$B$114,$AC30,'Key Inputs'!$C$29:$C$114,$AD30))</f>
        <v>0.77299617086321282</v>
      </c>
      <c r="J30" s="255">
        <f>IF($AE30="","",SUMIFS('Key Inputs'!$I$29:$I$114,'Key Inputs'!$A$29:$A$114,$AB30,'Key Inputs'!$B$29:$B$114,$AC30,'Key Inputs'!$C$29:$C$114,$AD30)/8760)</f>
        <v>0.11415525114155251</v>
      </c>
      <c r="K30" s="257">
        <f>IF($AE30="","",SUMIFS('Key Inputs'!$H$29:$H$114,'Key Inputs'!$A$29:$A$114,$AB30,'Key Inputs'!$B$29:$B$114,$AC30,'Key Inputs'!$C$29:$C$114,$AD30))</f>
        <v>20</v>
      </c>
      <c r="L30" s="51">
        <f t="shared" si="2"/>
        <v>31.536000000000001</v>
      </c>
      <c r="M30" s="51"/>
      <c r="N30" s="256">
        <f>EB_SRV!G69/'Key Inputs'!F52</f>
        <v>6.1565160283093653E-2</v>
      </c>
      <c r="O30" s="256">
        <f>N30</f>
        <v>6.1565160283093653E-2</v>
      </c>
      <c r="P30" s="58">
        <v>5</v>
      </c>
      <c r="R30" s="27" t="str">
        <f t="shared" ref="R30:R44" si="12">IF($AE30="","*"&amp;AB31&amp;" "&amp;AC31,"PRE")</f>
        <v>PRE</v>
      </c>
      <c r="S30" s="36" t="str">
        <f>IF($AE30="","",_xlfn.TEXTJOIN(",",TRUE,IF(LEFT(Regions!$C$3,1)&lt;&gt;"*",Regions!$C$3,""),IF(LEFT(Regions!$D$3,1)&lt;&gt;"*",Regions!$D$3,"")))</f>
        <v>IE,National</v>
      </c>
      <c r="T30" s="9" t="str">
        <f>IF($AE30="","",CONCATENATE(LEFT(Legend!$C$4),"-",$AH30,"-",$AG30,"_",$AE30,"_X0"))</f>
        <v>S-SH-PU_GAS_X0</v>
      </c>
      <c r="U30" s="9" t="str">
        <f t="shared" si="4"/>
        <v>Public Services - Space heating: Natural Gas</v>
      </c>
      <c r="V30" s="9" t="str">
        <f t="shared" si="5"/>
        <v>PJ</v>
      </c>
      <c r="W30" s="9" t="str">
        <f t="shared" si="6"/>
        <v>GW</v>
      </c>
      <c r="X30" s="9" t="str">
        <f t="shared" si="7"/>
        <v>ANNUAL</v>
      </c>
      <c r="Y30" s="9"/>
      <c r="Z30" s="9"/>
      <c r="AB30" s="5" t="str">
        <f>IF('Key Inputs'!A52="","",'Key Inputs'!A52)</f>
        <v>Public Services</v>
      </c>
      <c r="AC30" s="5" t="str">
        <f>IF('Key Inputs'!B52="","",'Key Inputs'!B52)</f>
        <v>Space heating</v>
      </c>
      <c r="AD30" s="5" t="str">
        <f>IF('Key Inputs'!C52="","",'Key Inputs'!C52)</f>
        <v>Natural Gas</v>
      </c>
      <c r="AE30" s="5" t="str">
        <f>IF('Key Inputs'!D52="","",'Key Inputs'!D52)</f>
        <v>GAS</v>
      </c>
      <c r="AF30" s="5" t="str">
        <f>IF('Key Inputs'!E52="","",'Key Inputs'!E52)</f>
        <v>SRVGAS, SRVBGS</v>
      </c>
      <c r="AG30" s="5" t="str">
        <f>_xlfn.XLOOKUP(AB30,Legend!$A$21:$A$22,Legend!$C$21:$C$22)</f>
        <v>PU</v>
      </c>
      <c r="AH30" s="5" t="str">
        <f>_xlfn.XLOOKUP(AC30,Legend!$A$24:$A$34,Legend!$C$24:$C$34)</f>
        <v>SH</v>
      </c>
      <c r="AI30" s="16">
        <f t="shared" si="9"/>
        <v>3.2760623184244118</v>
      </c>
      <c r="AJ30" s="16">
        <f t="shared" si="10"/>
        <v>2.5323836276513298</v>
      </c>
    </row>
    <row r="31" spans="1:36">
      <c r="B31" s="27" t="str">
        <f t="shared" si="3"/>
        <v>IE,National</v>
      </c>
      <c r="C31" s="27" t="str">
        <f t="shared" si="3"/>
        <v>S-SH-PU_BIO_X0</v>
      </c>
      <c r="D31" s="9" t="str">
        <f t="shared" si="0"/>
        <v>Public Services - Space heating: Biomass</v>
      </c>
      <c r="E31" s="43" t="str">
        <f t="shared" si="8"/>
        <v>SRVBIO</v>
      </c>
      <c r="F31" s="43"/>
      <c r="G31" s="9" t="str">
        <f>IF($AE31="","",CONCATENATE(Legend!$C$4,AH31,"-",AG31))</f>
        <v>SRVSH-PU</v>
      </c>
      <c r="H31" s="43">
        <f>IF($AE31="","",SUMIFS('Key Inputs'!$K$29:$K$114,'Key Inputs'!$A$29:$A$114,$AB31,'Key Inputs'!$B$29:$B$114,$AC31,'Key Inputs'!$C$29:$C$114,$AD31))</f>
        <v>8.0214712128111168E-2</v>
      </c>
      <c r="I31" s="255">
        <f>IF($AE31="","",SUMIFS('Key Inputs'!$G$29:$G$114,'Key Inputs'!$A$29:$A$114,$AB31,'Key Inputs'!$B$29:$B$114,$AC31,'Key Inputs'!$C$29:$C$114,$AD31))</f>
        <v>0.63490443337371294</v>
      </c>
      <c r="J31" s="255">
        <f>IF($AE31="","",SUMIFS('Key Inputs'!$I$29:$I$114,'Key Inputs'!$A$29:$A$114,$AB31,'Key Inputs'!$B$29:$B$114,$AC31,'Key Inputs'!$C$29:$C$114,$AD31)/8760)</f>
        <v>0.11415525114155251</v>
      </c>
      <c r="K31" s="257">
        <f>IF($AE31="","",SUMIFS('Key Inputs'!$H$29:$H$114,'Key Inputs'!$A$29:$A$114,$AB31,'Key Inputs'!$B$29:$B$114,$AC31,'Key Inputs'!$C$29:$C$114,$AD31))</f>
        <v>20</v>
      </c>
      <c r="L31" s="51">
        <f t="shared" si="2"/>
        <v>31.536000000000001</v>
      </c>
      <c r="M31" s="51"/>
      <c r="R31" s="27" t="str">
        <f t="shared" si="12"/>
        <v>PRE</v>
      </c>
      <c r="S31" s="36" t="str">
        <f>IF($AE31="","",_xlfn.TEXTJOIN(",",TRUE,IF(LEFT(Regions!$C$3,1)&lt;&gt;"*",Regions!$C$3,""),IF(LEFT(Regions!$D$3,1)&lt;&gt;"*",Regions!$D$3,"")))</f>
        <v>IE,National</v>
      </c>
      <c r="T31" s="9" t="str">
        <f>IF($AE31="","",CONCATENATE(LEFT(Legend!$C$4),"-",$AH31,"-",$AG31,"_",$AE31,"_X0"))</f>
        <v>S-SH-PU_BIO_X0</v>
      </c>
      <c r="U31" s="9" t="str">
        <f t="shared" si="4"/>
        <v>Public Services - Space heating: Biomass</v>
      </c>
      <c r="V31" s="9" t="str">
        <f t="shared" si="5"/>
        <v>PJ</v>
      </c>
      <c r="W31" s="9" t="str">
        <f t="shared" si="6"/>
        <v>GW</v>
      </c>
      <c r="X31" s="9" t="str">
        <f t="shared" si="7"/>
        <v>ANNUAL</v>
      </c>
      <c r="Y31" s="9"/>
      <c r="Z31" s="9"/>
      <c r="AB31" s="5" t="str">
        <f>IF('Key Inputs'!A53="","",'Key Inputs'!A53)</f>
        <v>Public Services</v>
      </c>
      <c r="AC31" s="5" t="str">
        <f>IF('Key Inputs'!B53="","",'Key Inputs'!B53)</f>
        <v>Space heating</v>
      </c>
      <c r="AD31" s="5" t="str">
        <f>IF('Key Inputs'!C53="","",'Key Inputs'!C53)</f>
        <v>Biomass</v>
      </c>
      <c r="AE31" s="5" t="str">
        <f>IF('Key Inputs'!D53="","",'Key Inputs'!D53)</f>
        <v>BIO</v>
      </c>
      <c r="AF31" s="5" t="str">
        <f>IF('Key Inputs'!E53="","",'Key Inputs'!E53)</f>
        <v>SRVBIO</v>
      </c>
      <c r="AG31" s="5" t="str">
        <f>_xlfn.XLOOKUP(AB31,Legend!$A$21:$A$22,Legend!$C$21:$C$22)</f>
        <v>PU</v>
      </c>
      <c r="AH31" s="5" t="str">
        <f>_xlfn.XLOOKUP(AC31,Legend!$A$24:$A$34,Legend!$C$24:$C$34)</f>
        <v>SH</v>
      </c>
      <c r="AI31" s="16">
        <f t="shared" si="9"/>
        <v>0.4548290238370799</v>
      </c>
      <c r="AJ31" s="16">
        <f t="shared" si="10"/>
        <v>0.2887729636612002</v>
      </c>
    </row>
    <row r="32" spans="1:36">
      <c r="B32" s="27" t="str">
        <f t="shared" si="3"/>
        <v>IE,National</v>
      </c>
      <c r="C32" s="27" t="str">
        <f t="shared" si="3"/>
        <v>S-SH-PU_SOL_X0</v>
      </c>
      <c r="D32" s="9" t="str">
        <f t="shared" si="0"/>
        <v>Public Services - Space heating: Solar</v>
      </c>
      <c r="E32" s="43" t="str">
        <f t="shared" si="8"/>
        <v>SRVSOL</v>
      </c>
      <c r="F32" s="43"/>
      <c r="G32" s="9" t="str">
        <f>IF($AE32="","",CONCATENATE(Legend!$C$4,AH32,"-",AG32))</f>
        <v>SRVSH-PU</v>
      </c>
      <c r="H32" s="43">
        <f>IF($AE32="","",SUMIFS('Key Inputs'!$K$29:$K$114,'Key Inputs'!$A$29:$A$114,$AB32,'Key Inputs'!$B$29:$B$114,$AC32,'Key Inputs'!$C$29:$C$114,$AD32))</f>
        <v>0</v>
      </c>
      <c r="I32" s="255">
        <f>IF($AE32="","",SUMIFS('Key Inputs'!$G$29:$G$114,'Key Inputs'!$A$29:$A$114,$AB32,'Key Inputs'!$B$29:$B$114,$AC32,'Key Inputs'!$C$29:$C$114,$AD32))</f>
        <v>0.33</v>
      </c>
      <c r="J32" s="255">
        <f>IF($AE32="","",SUMIFS('Key Inputs'!$I$29:$I$114,'Key Inputs'!$A$29:$A$114,$AB32,'Key Inputs'!$B$29:$B$114,$AC32,'Key Inputs'!$C$29:$C$114,$AD32)/8760)</f>
        <v>0.11415525114155251</v>
      </c>
      <c r="K32" s="257">
        <f>IF($AE32="","",SUMIFS('Key Inputs'!$H$29:$H$114,'Key Inputs'!$A$29:$A$114,$AB32,'Key Inputs'!$B$29:$B$114,$AC32,'Key Inputs'!$C$29:$C$114,$AD32))</f>
        <v>15</v>
      </c>
      <c r="L32" s="51">
        <f t="shared" si="2"/>
        <v>31.536000000000001</v>
      </c>
      <c r="M32" s="51"/>
      <c r="R32" s="27" t="str">
        <f t="shared" si="12"/>
        <v>PRE</v>
      </c>
      <c r="S32" s="36" t="str">
        <f>IF($AE32="","",_xlfn.TEXTJOIN(",",TRUE,IF(LEFT(Regions!$C$3,1)&lt;&gt;"*",Regions!$C$3,""),IF(LEFT(Regions!$D$3,1)&lt;&gt;"*",Regions!$D$3,"")))</f>
        <v>IE,National</v>
      </c>
      <c r="T32" s="9" t="str">
        <f>IF($AE32="","",CONCATENATE(LEFT(Legend!$C$4),"-",$AH32,"-",$AG32,"_",$AE32,"_X0"))</f>
        <v>S-SH-PU_SOL_X0</v>
      </c>
      <c r="U32" s="9" t="str">
        <f t="shared" si="4"/>
        <v>Public Services - Space heating: Solar</v>
      </c>
      <c r="V32" s="9" t="str">
        <f t="shared" si="5"/>
        <v>PJ</v>
      </c>
      <c r="W32" s="9" t="str">
        <f t="shared" si="6"/>
        <v>GW</v>
      </c>
      <c r="X32" s="9" t="str">
        <f t="shared" si="7"/>
        <v>ANNUAL</v>
      </c>
      <c r="Y32" s="9"/>
      <c r="Z32" s="9"/>
      <c r="AB32" s="5" t="str">
        <f>IF('Key Inputs'!A54="","",'Key Inputs'!A54)</f>
        <v>Public Services</v>
      </c>
      <c r="AC32" s="5" t="str">
        <f>IF('Key Inputs'!B54="","",'Key Inputs'!B54)</f>
        <v>Space heating</v>
      </c>
      <c r="AD32" s="5" t="str">
        <f>IF('Key Inputs'!C54="","",'Key Inputs'!C54)</f>
        <v>Solar</v>
      </c>
      <c r="AE32" s="5" t="str">
        <f>IF('Key Inputs'!D54="","",'Key Inputs'!D54)</f>
        <v>SOL</v>
      </c>
      <c r="AF32" s="5" t="str">
        <f>IF('Key Inputs'!E54="","",'Key Inputs'!E54)</f>
        <v>SRVSOL</v>
      </c>
      <c r="AG32" s="5" t="str">
        <f>_xlfn.XLOOKUP(AB32,Legend!$A$21:$A$22,Legend!$C$21:$C$22)</f>
        <v>PU</v>
      </c>
      <c r="AH32" s="5" t="str">
        <f>_xlfn.XLOOKUP(AC32,Legend!$A$24:$A$34,Legend!$C$24:$C$34)</f>
        <v>SH</v>
      </c>
      <c r="AI32" s="16">
        <f t="shared" si="9"/>
        <v>0</v>
      </c>
      <c r="AJ32" s="16">
        <f t="shared" si="10"/>
        <v>0</v>
      </c>
    </row>
    <row r="33" spans="1:36">
      <c r="B33" s="27" t="str">
        <f t="shared" si="3"/>
        <v>IE,National</v>
      </c>
      <c r="C33" s="27" t="str">
        <f t="shared" si="3"/>
        <v>S-SH-PU_ELC-HP_X0</v>
      </c>
      <c r="D33" s="9" t="str">
        <f t="shared" si="0"/>
        <v>Public Services - Space heating: Electricity (heat pumps)</v>
      </c>
      <c r="E33" s="43" t="str">
        <f t="shared" si="8"/>
        <v>SRVELC,SRVAHT</v>
      </c>
      <c r="F33" s="43"/>
      <c r="G33" s="9" t="str">
        <f>IF($AE33="","",CONCATENATE(Legend!$C$4,AH33,"-",AG33))</f>
        <v>SRVSH-PU</v>
      </c>
      <c r="H33" s="43">
        <f>IF($AE33="","",SUMIFS('Key Inputs'!$K$29:$K$114,'Key Inputs'!$A$29:$A$114,$AB33,'Key Inputs'!$B$29:$B$114,$AC33,'Key Inputs'!$C$29:$C$114,$AD33))</f>
        <v>0.10448369817369053</v>
      </c>
      <c r="I33" s="255">
        <f>IF($AE33="","",SUMIFS('Key Inputs'!$G$29:$G$114,'Key Inputs'!$A$29:$A$114,$AB33,'Key Inputs'!$B$29:$B$114,$AC33,'Key Inputs'!$C$29:$C$114,$AD33))</f>
        <v>2.1</v>
      </c>
      <c r="J33" s="255">
        <f>IF($AE33="","",SUMIFS('Key Inputs'!$I$29:$I$114,'Key Inputs'!$A$29:$A$114,$AB33,'Key Inputs'!$B$29:$B$114,$AC33,'Key Inputs'!$C$29:$C$114,$AD33)/8760)</f>
        <v>0.11415525114155251</v>
      </c>
      <c r="K33" s="257">
        <f>IF($AE33="","",SUMIFS('Key Inputs'!$H$29:$H$114,'Key Inputs'!$A$29:$A$114,$AB33,'Key Inputs'!$B$29:$B$114,$AC33,'Key Inputs'!$C$29:$C$114,$AD33))</f>
        <v>10</v>
      </c>
      <c r="L33" s="51">
        <f t="shared" si="2"/>
        <v>31.536000000000001</v>
      </c>
      <c r="M33" s="51">
        <f>M13</f>
        <v>0.49987510942049324</v>
      </c>
      <c r="R33" s="27" t="str">
        <f t="shared" si="12"/>
        <v>PRE</v>
      </c>
      <c r="S33" s="36" t="str">
        <f>IF($AE33="","",_xlfn.TEXTJOIN(",",TRUE,IF(LEFT(Regions!$C$3,1)&lt;&gt;"*",Regions!$C$3,""),IF(LEFT(Regions!$D$3,1)&lt;&gt;"*",Regions!$D$3,"")))</f>
        <v>IE,National</v>
      </c>
      <c r="T33" s="9" t="str">
        <f>IF($AE33="","",CONCATENATE(LEFT(Legend!$C$4),"-",$AH33,"-",$AG33,"_",$AE33,"_X0"))</f>
        <v>S-SH-PU_ELC-HP_X0</v>
      </c>
      <c r="U33" s="9" t="str">
        <f t="shared" si="4"/>
        <v>Public Services - Space heating: Electricity (heat pumps)</v>
      </c>
      <c r="V33" s="9" t="str">
        <f t="shared" si="5"/>
        <v>PJ</v>
      </c>
      <c r="W33" s="9" t="str">
        <f t="shared" si="6"/>
        <v>GW</v>
      </c>
      <c r="X33" s="9" t="str">
        <f t="shared" si="7"/>
        <v>ANNUAL</v>
      </c>
      <c r="Y33" s="9"/>
      <c r="Z33" s="9"/>
      <c r="AB33" s="5" t="str">
        <f>IF('Key Inputs'!A55="","",'Key Inputs'!A55)</f>
        <v>Public Services</v>
      </c>
      <c r="AC33" s="5" t="str">
        <f>IF('Key Inputs'!B55="","",'Key Inputs'!B55)</f>
        <v>Space heating</v>
      </c>
      <c r="AD33" s="5" t="str">
        <f>IF('Key Inputs'!C55="","",'Key Inputs'!C55)</f>
        <v>Electricity (heat pumps)</v>
      </c>
      <c r="AE33" s="5" t="str">
        <f>IF('Key Inputs'!D55="","",'Key Inputs'!D55)</f>
        <v>ELC-HP</v>
      </c>
      <c r="AF33" s="5" t="str">
        <f>IF('Key Inputs'!E55="","",'Key Inputs'!E55)</f>
        <v>SRVELC,SRVAHT</v>
      </c>
      <c r="AG33" s="5" t="str">
        <f>_xlfn.XLOOKUP(AB33,Legend!$A$21:$A$22,Legend!$C$21:$C$22)</f>
        <v>PU</v>
      </c>
      <c r="AH33" s="5" t="str">
        <f>_xlfn.XLOOKUP(AC33,Legend!$A$24:$A$34,Legend!$C$24:$C$34)</f>
        <v>SH</v>
      </c>
      <c r="AI33" s="16">
        <f t="shared" si="9"/>
        <v>0.17911491115489805</v>
      </c>
      <c r="AJ33" s="16">
        <f t="shared" si="10"/>
        <v>0.37614131342528595</v>
      </c>
    </row>
    <row r="34" spans="1:36">
      <c r="B34" s="27" t="str">
        <f t="shared" si="3"/>
        <v>IE,National</v>
      </c>
      <c r="C34" s="27" t="str">
        <f t="shared" si="3"/>
        <v>S-SH-PU_ELC_X0</v>
      </c>
      <c r="D34" s="9" t="str">
        <f t="shared" si="0"/>
        <v>Public Services - Space heating: Electricity (heaters)</v>
      </c>
      <c r="E34" s="43" t="str">
        <f t="shared" si="8"/>
        <v>SRVELC</v>
      </c>
      <c r="F34" s="43"/>
      <c r="G34" s="9" t="str">
        <f>IF($AE34="","",CONCATENATE(Legend!$C$4,AH34,"-",AG34))</f>
        <v>SRVSH-PU</v>
      </c>
      <c r="H34" s="43">
        <f>IF($AE34="","",SUMIFS('Key Inputs'!$K$29:$K$114,'Key Inputs'!$A$29:$A$114,$AB34,'Key Inputs'!$B$29:$B$114,$AC34,'Key Inputs'!$C$29:$C$114,$AD34))</f>
        <v>0.17548352590231694</v>
      </c>
      <c r="I34" s="255">
        <f>IF($AE34="","",SUMIFS('Key Inputs'!$G$29:$G$114,'Key Inputs'!$A$29:$A$114,$AB34,'Key Inputs'!$B$29:$B$114,$AC34,'Key Inputs'!$C$29:$C$114,$AD34))</f>
        <v>0.81595511259153475</v>
      </c>
      <c r="J34" s="255">
        <f>IF($AE34="","",SUMIFS('Key Inputs'!$I$29:$I$114,'Key Inputs'!$A$29:$A$114,$AB34,'Key Inputs'!$B$29:$B$114,$AC34,'Key Inputs'!$C$29:$C$114,$AD34)/8760)</f>
        <v>0.11415525114155251</v>
      </c>
      <c r="K34" s="257">
        <f>IF($AE34="","",SUMIFS('Key Inputs'!$H$29:$H$114,'Key Inputs'!$A$29:$A$114,$AB34,'Key Inputs'!$B$29:$B$114,$AC34,'Key Inputs'!$C$29:$C$114,$AD34))</f>
        <v>10</v>
      </c>
      <c r="L34" s="51">
        <f t="shared" si="2"/>
        <v>31.536000000000001</v>
      </c>
      <c r="M34" s="51"/>
      <c r="R34" s="27" t="str">
        <f t="shared" si="12"/>
        <v>PRE</v>
      </c>
      <c r="S34" s="36" t="str">
        <f>IF($AE34="","",_xlfn.TEXTJOIN(",",TRUE,IF(LEFT(Regions!$C$3,1)&lt;&gt;"*",Regions!$C$3,""),IF(LEFT(Regions!$D$3,1)&lt;&gt;"*",Regions!$D$3,"")))</f>
        <v>IE,National</v>
      </c>
      <c r="T34" s="9" t="str">
        <f>IF($AE34="","",CONCATENATE(LEFT(Legend!$C$4),"-",$AH34,"-",$AG34,"_",$AE34,"_X0"))</f>
        <v>S-SH-PU_ELC_X0</v>
      </c>
      <c r="U34" s="9" t="str">
        <f t="shared" si="4"/>
        <v>Public Services - Space heating: Electricity (heaters)</v>
      </c>
      <c r="V34" s="9" t="str">
        <f t="shared" si="5"/>
        <v>PJ</v>
      </c>
      <c r="W34" s="9" t="str">
        <f t="shared" si="6"/>
        <v>GW</v>
      </c>
      <c r="X34" s="9" t="str">
        <f t="shared" si="7"/>
        <v>ANNUAL</v>
      </c>
      <c r="Y34" s="9"/>
      <c r="Z34" s="9"/>
      <c r="AB34" s="5" t="str">
        <f>IF('Key Inputs'!A56="","",'Key Inputs'!A56)</f>
        <v>Public Services</v>
      </c>
      <c r="AC34" s="5" t="str">
        <f>IF('Key Inputs'!B56="","",'Key Inputs'!B56)</f>
        <v>Space heating</v>
      </c>
      <c r="AD34" s="5" t="str">
        <f>IF('Key Inputs'!C56="","",'Key Inputs'!C56)</f>
        <v>Electricity (heaters)</v>
      </c>
      <c r="AE34" s="5" t="str">
        <f>IF('Key Inputs'!D56="","",'Key Inputs'!D56)</f>
        <v>ELC</v>
      </c>
      <c r="AF34" s="5" t="str">
        <f>IF('Key Inputs'!E56="","",'Key Inputs'!E56)</f>
        <v>SRVELC</v>
      </c>
      <c r="AG34" s="5" t="str">
        <f>_xlfn.XLOOKUP(AB34,Legend!$A$21:$A$22,Legend!$C$21:$C$22)</f>
        <v>PU</v>
      </c>
      <c r="AH34" s="5" t="str">
        <f>_xlfn.XLOOKUP(AC34,Legend!$A$24:$A$34,Legend!$C$24:$C$34)</f>
        <v>SH</v>
      </c>
      <c r="AI34" s="16">
        <f t="shared" si="9"/>
        <v>0.77423461597278931</v>
      </c>
      <c r="AJ34" s="16">
        <f t="shared" si="10"/>
        <v>0.63174069324834092</v>
      </c>
    </row>
    <row r="35" spans="1:36" s="6" customFormat="1">
      <c r="A35" s="15"/>
      <c r="B35" s="15" t="str">
        <f>IF($AE35="",R35,T35)</f>
        <v>*Public Services Water heating</v>
      </c>
      <c r="C35" s="15"/>
      <c r="D35" s="15"/>
      <c r="E35" s="264"/>
      <c r="F35" s="264"/>
      <c r="G35" s="15"/>
      <c r="H35" s="264"/>
      <c r="I35" s="265"/>
      <c r="J35" s="265"/>
      <c r="K35" s="266"/>
      <c r="L35" s="75"/>
      <c r="M35" s="75"/>
      <c r="N35" s="267"/>
      <c r="O35" s="267"/>
      <c r="P35" s="267"/>
      <c r="Q35" s="267"/>
      <c r="R35" s="15" t="str">
        <f t="shared" si="12"/>
        <v>*Public Services Water heating</v>
      </c>
      <c r="S35" s="36"/>
      <c r="T35" s="15"/>
      <c r="U35" s="15"/>
      <c r="V35" s="15"/>
      <c r="W35" s="15"/>
      <c r="X35" s="15"/>
      <c r="Y35" s="15"/>
      <c r="Z35" s="15"/>
      <c r="AA35" s="267"/>
      <c r="AI35" s="16"/>
      <c r="AJ35" s="16"/>
    </row>
    <row r="36" spans="1:36">
      <c r="B36" s="27" t="str">
        <f t="shared" si="3"/>
        <v>IE,National</v>
      </c>
      <c r="C36" s="27" t="str">
        <f t="shared" si="3"/>
        <v>S-WH-PU_COA_X0</v>
      </c>
      <c r="D36" s="9" t="str">
        <f t="shared" si="0"/>
        <v>Public Services - Water heating: Solids</v>
      </c>
      <c r="E36" s="43" t="str">
        <f t="shared" si="8"/>
        <v>SRVCOA</v>
      </c>
      <c r="F36" s="43"/>
      <c r="G36" s="9" t="str">
        <f>IF($AE36="","",CONCATENATE(Legend!$C$4,AH36,"-",AG36))</f>
        <v>SRVWH-PU</v>
      </c>
      <c r="H36" s="43">
        <f>IF($AE36="","",SUMIFS('Key Inputs'!$K$29:$K$114,'Key Inputs'!$A$29:$A$114,$AB36,'Key Inputs'!$B$29:$B$114,$AC36,'Key Inputs'!$C$29:$C$114,$AD36))</f>
        <v>0</v>
      </c>
      <c r="I36" s="255">
        <f>IF($AE36="","",SUMIFS('Key Inputs'!$G$29:$G$114,'Key Inputs'!$A$29:$A$114,$AB36,'Key Inputs'!$B$29:$B$114,$AC36,'Key Inputs'!$C$29:$C$114,$AD36))</f>
        <v>0.33</v>
      </c>
      <c r="J36" s="255">
        <f>IF($AE36="","",SUMIFS('Key Inputs'!$I$29:$I$114,'Key Inputs'!$A$29:$A$114,$AB36,'Key Inputs'!$B$29:$B$114,$AC36,'Key Inputs'!$C$29:$C$114,$AD36)/8760)</f>
        <v>2.2831050228310501E-2</v>
      </c>
      <c r="K36" s="257">
        <f>IF($AE36="","",SUMIFS('Key Inputs'!$H$29:$H$114,'Key Inputs'!$A$29:$A$114,$AB36,'Key Inputs'!$B$29:$B$114,$AC36,'Key Inputs'!$C$29:$C$114,$AD36))</f>
        <v>20</v>
      </c>
      <c r="L36" s="51">
        <f t="shared" si="2"/>
        <v>31.536000000000001</v>
      </c>
      <c r="M36" s="51"/>
      <c r="R36" s="27" t="str">
        <f t="shared" si="12"/>
        <v>PRE</v>
      </c>
      <c r="S36" s="36" t="str">
        <f>IF($AE36="","",_xlfn.TEXTJOIN(",",TRUE,IF(LEFT(Regions!$C$3,1)&lt;&gt;"*",Regions!$C$3,""),IF(LEFT(Regions!$D$3,1)&lt;&gt;"*",Regions!$D$3,"")))</f>
        <v>IE,National</v>
      </c>
      <c r="T36" s="9" t="str">
        <f>IF($AE36="","",CONCATENATE(LEFT(Legend!$C$4),"-",$AH36,"-",$AG36,"_",$AE36,"_X0"))</f>
        <v>S-WH-PU_COA_X0</v>
      </c>
      <c r="U36" s="9" t="str">
        <f t="shared" si="4"/>
        <v>Public Services - Water heating: Solids</v>
      </c>
      <c r="V36" s="9" t="str">
        <f t="shared" si="5"/>
        <v>PJ</v>
      </c>
      <c r="W36" s="9" t="str">
        <f t="shared" si="6"/>
        <v>GW</v>
      </c>
      <c r="X36" s="9" t="str">
        <f t="shared" si="7"/>
        <v>ANNUAL</v>
      </c>
      <c r="Y36" s="9"/>
      <c r="Z36" s="9"/>
      <c r="AB36" s="5" t="str">
        <f>IF('Key Inputs'!A58="","",'Key Inputs'!A58)</f>
        <v>Public Services</v>
      </c>
      <c r="AC36" s="5" t="str">
        <f>IF('Key Inputs'!B58="","",'Key Inputs'!B58)</f>
        <v>Water heating</v>
      </c>
      <c r="AD36" s="5" t="str">
        <f>IF('Key Inputs'!C58="","",'Key Inputs'!C58)</f>
        <v>Solids</v>
      </c>
      <c r="AE36" s="5" t="str">
        <f>IF('Key Inputs'!D58="","",'Key Inputs'!D58)</f>
        <v>COA</v>
      </c>
      <c r="AF36" s="5" t="str">
        <f>IF('Key Inputs'!E58="","",'Key Inputs'!E58)</f>
        <v>SRVCOA</v>
      </c>
      <c r="AG36" s="5" t="str">
        <f>_xlfn.XLOOKUP(AB36,Legend!$A$21:$A$22,Legend!$C$21:$C$22)</f>
        <v>PU</v>
      </c>
      <c r="AH36" s="5" t="str">
        <f>_xlfn.XLOOKUP(AC36,Legend!$A$24:$A$34,Legend!$C$24:$C$34)</f>
        <v>WH</v>
      </c>
      <c r="AI36" s="16">
        <f t="shared" si="9"/>
        <v>0</v>
      </c>
      <c r="AJ36" s="16">
        <f t="shared" si="10"/>
        <v>0</v>
      </c>
    </row>
    <row r="37" spans="1:36">
      <c r="B37" s="27" t="str">
        <f t="shared" si="3"/>
        <v>IE,National</v>
      </c>
      <c r="C37" s="27" t="str">
        <f t="shared" si="3"/>
        <v>S-WH-PU_LPG_X0</v>
      </c>
      <c r="D37" s="9" t="str">
        <f t="shared" si="0"/>
        <v>Public Services - Water heating: LPG</v>
      </c>
      <c r="E37" s="43" t="str">
        <f t="shared" si="8"/>
        <v>SRVLPG</v>
      </c>
      <c r="F37" s="43"/>
      <c r="G37" s="9" t="str">
        <f>IF($AE37="","",CONCATENATE(Legend!$C$4,AH37,"-",AG37))</f>
        <v>SRVWH-PU</v>
      </c>
      <c r="H37" s="43">
        <f>IF($AE37="","",SUMIFS('Key Inputs'!$K$29:$K$114,'Key Inputs'!$A$29:$A$114,$AB37,'Key Inputs'!$B$29:$B$114,$AC37,'Key Inputs'!$C$29:$C$114,$AD37))</f>
        <v>0</v>
      </c>
      <c r="I37" s="255">
        <f>IF($AE37="","",SUMIFS('Key Inputs'!$G$29:$G$114,'Key Inputs'!$A$29:$A$114,$AB37,'Key Inputs'!$B$29:$B$114,$AC37,'Key Inputs'!$C$29:$C$114,$AD37))</f>
        <v>0.33</v>
      </c>
      <c r="J37" s="255">
        <f>IF($AE37="","",SUMIFS('Key Inputs'!$I$29:$I$114,'Key Inputs'!$A$29:$A$114,$AB37,'Key Inputs'!$B$29:$B$114,$AC37,'Key Inputs'!$C$29:$C$114,$AD37)/8760)</f>
        <v>2.2831050228310501E-2</v>
      </c>
      <c r="K37" s="257">
        <f>IF($AE37="","",SUMIFS('Key Inputs'!$H$29:$H$114,'Key Inputs'!$A$29:$A$114,$AB37,'Key Inputs'!$B$29:$B$114,$AC37,'Key Inputs'!$C$29:$C$114,$AD37))</f>
        <v>20</v>
      </c>
      <c r="L37" s="51">
        <f t="shared" si="2"/>
        <v>31.536000000000001</v>
      </c>
      <c r="M37" s="51"/>
      <c r="R37" s="27" t="str">
        <f t="shared" si="12"/>
        <v>PRE</v>
      </c>
      <c r="S37" s="36" t="str">
        <f>IF($AE37="","",_xlfn.TEXTJOIN(",",TRUE,IF(LEFT(Regions!$C$3,1)&lt;&gt;"*",Regions!$C$3,""),IF(LEFT(Regions!$D$3,1)&lt;&gt;"*",Regions!$D$3,"")))</f>
        <v>IE,National</v>
      </c>
      <c r="T37" s="9" t="str">
        <f>IF($AE37="","",CONCATENATE(LEFT(Legend!$C$4),"-",$AH37,"-",$AG37,"_",$AE37,"_X0"))</f>
        <v>S-WH-PU_LPG_X0</v>
      </c>
      <c r="U37" s="9" t="str">
        <f t="shared" si="4"/>
        <v>Public Services - Water heating: LPG</v>
      </c>
      <c r="V37" s="9" t="str">
        <f t="shared" si="5"/>
        <v>PJ</v>
      </c>
      <c r="W37" s="9" t="str">
        <f t="shared" si="6"/>
        <v>GW</v>
      </c>
      <c r="X37" s="9" t="str">
        <f t="shared" si="7"/>
        <v>ANNUAL</v>
      </c>
      <c r="Y37" s="9"/>
      <c r="Z37" s="9"/>
      <c r="AB37" s="5" t="str">
        <f>IF('Key Inputs'!A59="","",'Key Inputs'!A59)</f>
        <v>Public Services</v>
      </c>
      <c r="AC37" s="5" t="str">
        <f>IF('Key Inputs'!B59="","",'Key Inputs'!B59)</f>
        <v>Water heating</v>
      </c>
      <c r="AD37" s="5" t="str">
        <f>IF('Key Inputs'!C59="","",'Key Inputs'!C59)</f>
        <v>LPG</v>
      </c>
      <c r="AE37" s="5" t="str">
        <f>IF('Key Inputs'!D59="","",'Key Inputs'!D59)</f>
        <v>LPG</v>
      </c>
      <c r="AF37" s="5" t="str">
        <f>IF('Key Inputs'!E59="","",'Key Inputs'!E59)</f>
        <v>SRVLPG</v>
      </c>
      <c r="AG37" s="5" t="str">
        <f>_xlfn.XLOOKUP(AB37,Legend!$A$21:$A$22,Legend!$C$21:$C$22)</f>
        <v>PU</v>
      </c>
      <c r="AH37" s="5" t="str">
        <f>_xlfn.XLOOKUP(AC37,Legend!$A$24:$A$34,Legend!$C$24:$C$34)</f>
        <v>WH</v>
      </c>
      <c r="AI37" s="16">
        <f t="shared" si="9"/>
        <v>0</v>
      </c>
      <c r="AJ37" s="16">
        <f t="shared" si="10"/>
        <v>0</v>
      </c>
    </row>
    <row r="38" spans="1:36">
      <c r="B38" s="27" t="str">
        <f t="shared" si="3"/>
        <v>IE,National</v>
      </c>
      <c r="C38" s="27" t="str">
        <f t="shared" si="3"/>
        <v>S-WH-PU_OIL_X0</v>
      </c>
      <c r="D38" s="9" t="str">
        <f t="shared" si="0"/>
        <v>Public Services - Water heating: Oil</v>
      </c>
      <c r="E38" s="43" t="str">
        <f t="shared" si="8"/>
        <v>SRVOIL</v>
      </c>
      <c r="F38" s="43"/>
      <c r="G38" s="9" t="str">
        <f>IF($AE38="","",CONCATENATE(Legend!$C$4,AH38,"-",AG38))</f>
        <v>SRVWH-PU</v>
      </c>
      <c r="H38" s="43">
        <f>IF($AE38="","",SUMIFS('Key Inputs'!$K$29:$K$114,'Key Inputs'!$A$29:$A$114,$AB38,'Key Inputs'!$B$29:$B$114,$AC38,'Key Inputs'!$C$29:$C$114,$AD38))</f>
        <v>0.79817024138196124</v>
      </c>
      <c r="I38" s="255">
        <f>IF($AE38="","",SUMIFS('Key Inputs'!$G$29:$G$114,'Key Inputs'!$A$29:$A$114,$AB38,'Key Inputs'!$B$29:$B$114,$AC38,'Key Inputs'!$C$29:$C$114,$AD38))</f>
        <v>0.59834963673469854</v>
      </c>
      <c r="J38" s="255">
        <f>IF($AE38="","",SUMIFS('Key Inputs'!$I$29:$I$114,'Key Inputs'!$A$29:$A$114,$AB38,'Key Inputs'!$B$29:$B$114,$AC38,'Key Inputs'!$C$29:$C$114,$AD38)/8760)</f>
        <v>2.2831050228310501E-2</v>
      </c>
      <c r="K38" s="257">
        <f>IF($AE38="","",SUMIFS('Key Inputs'!$H$29:$H$114,'Key Inputs'!$A$29:$A$114,$AB38,'Key Inputs'!$B$29:$B$114,$AC38,'Key Inputs'!$C$29:$C$114,$AD38))</f>
        <v>20</v>
      </c>
      <c r="L38" s="51">
        <f t="shared" si="2"/>
        <v>31.536000000000001</v>
      </c>
      <c r="M38" s="51"/>
      <c r="R38" s="27" t="str">
        <f t="shared" si="12"/>
        <v>PRE</v>
      </c>
      <c r="S38" s="36" t="str">
        <f>IF($AE38="","",_xlfn.TEXTJOIN(",",TRUE,IF(LEFT(Regions!$C$3,1)&lt;&gt;"*",Regions!$C$3,""),IF(LEFT(Regions!$D$3,1)&lt;&gt;"*",Regions!$D$3,"")))</f>
        <v>IE,National</v>
      </c>
      <c r="T38" s="9" t="str">
        <f>IF($AE38="","",CONCATENATE(LEFT(Legend!$C$4),"-",$AH38,"-",$AG38,"_",$AE38,"_X0"))</f>
        <v>S-WH-PU_OIL_X0</v>
      </c>
      <c r="U38" s="9" t="str">
        <f t="shared" si="4"/>
        <v>Public Services - Water heating: Oil</v>
      </c>
      <c r="V38" s="9" t="str">
        <f t="shared" si="5"/>
        <v>PJ</v>
      </c>
      <c r="W38" s="9" t="str">
        <f t="shared" si="6"/>
        <v>GW</v>
      </c>
      <c r="X38" s="9" t="str">
        <f t="shared" si="7"/>
        <v>ANNUAL</v>
      </c>
      <c r="Y38" s="9"/>
      <c r="Z38" s="9"/>
      <c r="AB38" s="5" t="str">
        <f>IF('Key Inputs'!A60="","",'Key Inputs'!A60)</f>
        <v>Public Services</v>
      </c>
      <c r="AC38" s="5" t="str">
        <f>IF('Key Inputs'!B60="","",'Key Inputs'!B60)</f>
        <v>Water heating</v>
      </c>
      <c r="AD38" s="5" t="str">
        <f>IF('Key Inputs'!C60="","",'Key Inputs'!C60)</f>
        <v>Oil</v>
      </c>
      <c r="AE38" s="5" t="str">
        <f>IF('Key Inputs'!D60="","",'Key Inputs'!D60)</f>
        <v>OIL</v>
      </c>
      <c r="AF38" s="5" t="str">
        <f>IF('Key Inputs'!E60="","",'Key Inputs'!E60)</f>
        <v>SRVOIL</v>
      </c>
      <c r="AG38" s="5" t="str">
        <f>_xlfn.XLOOKUP(AB38,Legend!$A$21:$A$22,Legend!$C$21:$C$22)</f>
        <v>PU</v>
      </c>
      <c r="AH38" s="5" t="str">
        <f>_xlfn.XLOOKUP(AC38,Legend!$A$24:$A$34,Legend!$C$24:$C$34)</f>
        <v>WH</v>
      </c>
      <c r="AI38" s="16">
        <f t="shared" si="9"/>
        <v>0.96044609792220859</v>
      </c>
      <c r="AJ38" s="16">
        <f t="shared" si="10"/>
        <v>0.5746825737950122</v>
      </c>
    </row>
    <row r="39" spans="1:36">
      <c r="B39" s="27" t="str">
        <f t="shared" si="3"/>
        <v>IE,National</v>
      </c>
      <c r="C39" s="27" t="str">
        <f t="shared" si="3"/>
        <v>S-WH-PU_GAS_X0</v>
      </c>
      <c r="D39" s="9" t="str">
        <f t="shared" si="0"/>
        <v>Public Services - Water heating: Natural Gas</v>
      </c>
      <c r="E39" s="43" t="str">
        <f t="shared" si="8"/>
        <v>SRVGAS, SRVBGS</v>
      </c>
      <c r="F39" s="43"/>
      <c r="G39" s="9" t="str">
        <f>IF($AE39="","",CONCATENATE(Legend!$C$4,AH39,"-",AG39))</f>
        <v>SRVWH-PU</v>
      </c>
      <c r="H39" s="43">
        <f>IF($AE39="","",SUMIFS('Key Inputs'!$K$29:$K$114,'Key Inputs'!$A$29:$A$114,$AB39,'Key Inputs'!$B$29:$B$114,$AC39,'Key Inputs'!$C$29:$C$114,$AD39))</f>
        <v>0.79792194624072432</v>
      </c>
      <c r="I39" s="255">
        <f>IF($AE39="","",SUMIFS('Key Inputs'!$G$29:$G$114,'Key Inputs'!$A$29:$A$114,$AB39,'Key Inputs'!$B$29:$B$114,$AC39,'Key Inputs'!$C$29:$C$114,$AD39))</f>
        <v>0.63024757853709534</v>
      </c>
      <c r="J39" s="255">
        <f>IF($AE39="","",SUMIFS('Key Inputs'!$I$29:$I$114,'Key Inputs'!$A$29:$A$114,$AB39,'Key Inputs'!$B$29:$B$114,$AC39,'Key Inputs'!$C$29:$C$114,$AD39)/8760)</f>
        <v>2.2831050228310501E-2</v>
      </c>
      <c r="K39" s="257">
        <f>IF($AE39="","",SUMIFS('Key Inputs'!$H$29:$H$114,'Key Inputs'!$A$29:$A$114,$AB39,'Key Inputs'!$B$29:$B$114,$AC39,'Key Inputs'!$C$29:$C$114,$AD39))</f>
        <v>20</v>
      </c>
      <c r="L39" s="51">
        <f t="shared" si="2"/>
        <v>31.536000000000001</v>
      </c>
      <c r="M39" s="51"/>
      <c r="N39" s="256">
        <f>EB_SRV!G80/'Key Inputs'!F61</f>
        <v>0</v>
      </c>
      <c r="O39" s="256">
        <f>N39</f>
        <v>0</v>
      </c>
      <c r="P39" s="58">
        <v>5</v>
      </c>
      <c r="R39" s="27" t="str">
        <f t="shared" si="12"/>
        <v>PRE</v>
      </c>
      <c r="S39" s="36" t="str">
        <f>IF($AE39="","",_xlfn.TEXTJOIN(",",TRUE,IF(LEFT(Regions!$C$3,1)&lt;&gt;"*",Regions!$C$3,""),IF(LEFT(Regions!$D$3,1)&lt;&gt;"*",Regions!$D$3,"")))</f>
        <v>IE,National</v>
      </c>
      <c r="T39" s="9" t="str">
        <f>IF($AE39="","",CONCATENATE(LEFT(Legend!$C$4),"-",$AH39,"-",$AG39,"_",$AE39,"_X0"))</f>
        <v>S-WH-PU_GAS_X0</v>
      </c>
      <c r="U39" s="9" t="str">
        <f t="shared" si="4"/>
        <v>Public Services - Water heating: Natural Gas</v>
      </c>
      <c r="V39" s="9" t="str">
        <f t="shared" si="5"/>
        <v>PJ</v>
      </c>
      <c r="W39" s="9" t="str">
        <f t="shared" si="6"/>
        <v>GW</v>
      </c>
      <c r="X39" s="9" t="str">
        <f t="shared" si="7"/>
        <v>ANNUAL</v>
      </c>
      <c r="Y39" s="9"/>
      <c r="Z39" s="9"/>
      <c r="AB39" s="5" t="str">
        <f>IF('Key Inputs'!A61="","",'Key Inputs'!A61)</f>
        <v>Public Services</v>
      </c>
      <c r="AC39" s="5" t="str">
        <f>IF('Key Inputs'!B61="","",'Key Inputs'!B61)</f>
        <v>Water heating</v>
      </c>
      <c r="AD39" s="5" t="str">
        <f>IF('Key Inputs'!C61="","",'Key Inputs'!C61)</f>
        <v>Natural Gas</v>
      </c>
      <c r="AE39" s="5" t="str">
        <f>IF('Key Inputs'!D61="","",'Key Inputs'!D61)</f>
        <v>GAS</v>
      </c>
      <c r="AF39" s="5" t="str">
        <f>IF('Key Inputs'!E61="","",'Key Inputs'!E61)</f>
        <v>SRVGAS, SRVBGS</v>
      </c>
      <c r="AG39" s="5" t="str">
        <f>_xlfn.XLOOKUP(AB39,Legend!$A$21:$A$22,Legend!$C$21:$C$22)</f>
        <v>PU</v>
      </c>
      <c r="AH39" s="5" t="str">
        <f>_xlfn.XLOOKUP(AC39,Legend!$A$24:$A$34,Legend!$C$24:$C$34)</f>
        <v>WH</v>
      </c>
      <c r="AI39" s="16">
        <f t="shared" si="9"/>
        <v>0.9115525721286164</v>
      </c>
      <c r="AJ39" s="16">
        <f t="shared" si="10"/>
        <v>0.57450380129332146</v>
      </c>
    </row>
    <row r="40" spans="1:36">
      <c r="B40" s="27" t="str">
        <f t="shared" si="3"/>
        <v>IE,National</v>
      </c>
      <c r="C40" s="27" t="str">
        <f t="shared" si="3"/>
        <v>S-WH-PU_BIO_X0</v>
      </c>
      <c r="D40" s="9" t="str">
        <f t="shared" si="0"/>
        <v>Public Services - Water heating: Biomass</v>
      </c>
      <c r="E40" s="43" t="str">
        <f t="shared" si="8"/>
        <v>SRVBIO</v>
      </c>
      <c r="F40" s="43"/>
      <c r="G40" s="9" t="str">
        <f>IF($AE40="","",CONCATENATE(Legend!$C$4,AH40,"-",AG40))</f>
        <v>SRVWH-PU</v>
      </c>
      <c r="H40" s="43">
        <f>IF($AE40="","",SUMIFS('Key Inputs'!$K$29:$K$114,'Key Inputs'!$A$29:$A$114,$AB40,'Key Inputs'!$B$29:$B$114,$AC40,'Key Inputs'!$C$29:$C$114,$AD40))</f>
        <v>0</v>
      </c>
      <c r="I40" s="255">
        <f>IF($AE40="","",SUMIFS('Key Inputs'!$G$29:$G$114,'Key Inputs'!$A$29:$A$114,$AB40,'Key Inputs'!$B$29:$B$114,$AC40,'Key Inputs'!$C$29:$C$114,$AD40))</f>
        <v>0.33</v>
      </c>
      <c r="J40" s="255">
        <f>IF($AE40="","",SUMIFS('Key Inputs'!$I$29:$I$114,'Key Inputs'!$A$29:$A$114,$AB40,'Key Inputs'!$B$29:$B$114,$AC40,'Key Inputs'!$C$29:$C$114,$AD40)/8760)</f>
        <v>2.2831050228310501E-2</v>
      </c>
      <c r="K40" s="257">
        <f>IF($AE40="","",SUMIFS('Key Inputs'!$H$29:$H$114,'Key Inputs'!$A$29:$A$114,$AB40,'Key Inputs'!$B$29:$B$114,$AC40,'Key Inputs'!$C$29:$C$114,$AD40))</f>
        <v>20</v>
      </c>
      <c r="L40" s="51">
        <f t="shared" si="2"/>
        <v>31.536000000000001</v>
      </c>
      <c r="M40" s="51"/>
      <c r="R40" s="27" t="str">
        <f t="shared" si="12"/>
        <v>PRE</v>
      </c>
      <c r="S40" s="36" t="str">
        <f>IF($AE40="","",_xlfn.TEXTJOIN(",",TRUE,IF(LEFT(Regions!$C$3,1)&lt;&gt;"*",Regions!$C$3,""),IF(LEFT(Regions!$D$3,1)&lt;&gt;"*",Regions!$D$3,"")))</f>
        <v>IE,National</v>
      </c>
      <c r="T40" s="9" t="str">
        <f>IF($AE40="","",CONCATENATE(LEFT(Legend!$C$4),"-",$AH40,"-",$AG40,"_",$AE40,"_X0"))</f>
        <v>S-WH-PU_BIO_X0</v>
      </c>
      <c r="U40" s="9" t="str">
        <f t="shared" si="4"/>
        <v>Public Services - Water heating: Biomass</v>
      </c>
      <c r="V40" s="9" t="str">
        <f t="shared" si="5"/>
        <v>PJ</v>
      </c>
      <c r="W40" s="9" t="str">
        <f t="shared" si="6"/>
        <v>GW</v>
      </c>
      <c r="X40" s="9" t="str">
        <f t="shared" si="7"/>
        <v>ANNUAL</v>
      </c>
      <c r="Y40" s="9"/>
      <c r="Z40" s="9"/>
      <c r="AB40" s="5" t="str">
        <f>IF('Key Inputs'!A62="","",'Key Inputs'!A62)</f>
        <v>Public Services</v>
      </c>
      <c r="AC40" s="5" t="str">
        <f>IF('Key Inputs'!B62="","",'Key Inputs'!B62)</f>
        <v>Water heating</v>
      </c>
      <c r="AD40" s="5" t="str">
        <f>IF('Key Inputs'!C62="","",'Key Inputs'!C62)</f>
        <v>Biomass</v>
      </c>
      <c r="AE40" s="5" t="str">
        <f>IF('Key Inputs'!D62="","",'Key Inputs'!D62)</f>
        <v>BIO</v>
      </c>
      <c r="AF40" s="5" t="str">
        <f>IF('Key Inputs'!E62="","",'Key Inputs'!E62)</f>
        <v>SRVBIO</v>
      </c>
      <c r="AG40" s="5" t="str">
        <f>_xlfn.XLOOKUP(AB40,Legend!$A$21:$A$22,Legend!$C$21:$C$22)</f>
        <v>PU</v>
      </c>
      <c r="AH40" s="5" t="str">
        <f>_xlfn.XLOOKUP(AC40,Legend!$A$24:$A$34,Legend!$C$24:$C$34)</f>
        <v>WH</v>
      </c>
      <c r="AI40" s="16">
        <f t="shared" si="9"/>
        <v>0</v>
      </c>
      <c r="AJ40" s="16">
        <f t="shared" si="10"/>
        <v>0</v>
      </c>
    </row>
    <row r="41" spans="1:36">
      <c r="B41" s="27" t="str">
        <f t="shared" si="3"/>
        <v>IE,National</v>
      </c>
      <c r="C41" s="27" t="str">
        <f t="shared" si="3"/>
        <v>S-WH-PU_ELC_X0</v>
      </c>
      <c r="D41" s="9" t="str">
        <f t="shared" si="0"/>
        <v>Public Services - Water heating: Electricity</v>
      </c>
      <c r="E41" s="43" t="str">
        <f t="shared" si="8"/>
        <v>SRVELC</v>
      </c>
      <c r="F41" s="43"/>
      <c r="G41" s="9" t="str">
        <f>IF($AE41="","",CONCATENATE(Legend!$C$4,AH41,"-",AG41))</f>
        <v>SRVWH-PU</v>
      </c>
      <c r="H41" s="43">
        <f>IF($AE41="","",SUMIFS('Key Inputs'!$K$29:$K$114,'Key Inputs'!$A$29:$A$114,$AB41,'Key Inputs'!$B$29:$B$114,$AC41,'Key Inputs'!$C$29:$C$114,$AD41))</f>
        <v>0.47532657739532264</v>
      </c>
      <c r="I41" s="255">
        <f>IF($AE41="","",SUMIFS('Key Inputs'!$G$29:$G$114,'Key Inputs'!$A$29:$A$114,$AB41,'Key Inputs'!$B$29:$B$114,$AC41,'Key Inputs'!$C$29:$C$114,$AD41))</f>
        <v>0.7791533881609447</v>
      </c>
      <c r="J41" s="255">
        <f>IF($AE41="","",SUMIFS('Key Inputs'!$I$29:$I$114,'Key Inputs'!$A$29:$A$114,$AB41,'Key Inputs'!$B$29:$B$114,$AC41,'Key Inputs'!$C$29:$C$114,$AD41)/8760)</f>
        <v>2.2831050228310501E-2</v>
      </c>
      <c r="K41" s="257">
        <f>IF($AE41="","",SUMIFS('Key Inputs'!$H$29:$H$114,'Key Inputs'!$A$29:$A$114,$AB41,'Key Inputs'!$B$29:$B$114,$AC41,'Key Inputs'!$C$29:$C$114,$AD41))</f>
        <v>10</v>
      </c>
      <c r="L41" s="51">
        <f t="shared" si="2"/>
        <v>31.536000000000001</v>
      </c>
      <c r="M41" s="51"/>
      <c r="R41" s="27" t="str">
        <f t="shared" si="12"/>
        <v>PRE</v>
      </c>
      <c r="S41" s="36" t="str">
        <f>IF($AE41="","",_xlfn.TEXTJOIN(",",TRUE,IF(LEFT(Regions!$C$3,1)&lt;&gt;"*",Regions!$C$3,""),IF(LEFT(Regions!$D$3,1)&lt;&gt;"*",Regions!$D$3,"")))</f>
        <v>IE,National</v>
      </c>
      <c r="T41" s="9" t="str">
        <f>IF($AE41="","",CONCATENATE(LEFT(Legend!$C$4),"-",$AH41,"-",$AG41,"_",$AE41,"_X0"))</f>
        <v>S-WH-PU_ELC_X0</v>
      </c>
      <c r="U41" s="9" t="str">
        <f t="shared" si="4"/>
        <v>Public Services - Water heating: Electricity</v>
      </c>
      <c r="V41" s="9" t="str">
        <f t="shared" si="5"/>
        <v>PJ</v>
      </c>
      <c r="W41" s="9" t="str">
        <f t="shared" si="6"/>
        <v>GW</v>
      </c>
      <c r="X41" s="9" t="str">
        <f t="shared" si="7"/>
        <v>ANNUAL</v>
      </c>
      <c r="Y41" s="9"/>
      <c r="Z41" s="9"/>
      <c r="AB41" s="5" t="str">
        <f>IF('Key Inputs'!A63="","",'Key Inputs'!A63)</f>
        <v>Public Services</v>
      </c>
      <c r="AC41" s="5" t="str">
        <f>IF('Key Inputs'!B63="","",'Key Inputs'!B63)</f>
        <v>Water heating</v>
      </c>
      <c r="AD41" s="5" t="str">
        <f>IF('Key Inputs'!C63="","",'Key Inputs'!C63)</f>
        <v>Electricity</v>
      </c>
      <c r="AE41" s="5" t="str">
        <f>IF('Key Inputs'!D63="","",'Key Inputs'!D63)</f>
        <v>ELC</v>
      </c>
      <c r="AF41" s="5" t="str">
        <f>IF('Key Inputs'!E63="","",'Key Inputs'!E63)</f>
        <v>SRVELC</v>
      </c>
      <c r="AG41" s="5" t="str">
        <f>_xlfn.XLOOKUP(AB41,Legend!$A$21:$A$22,Legend!$C$21:$C$22)</f>
        <v>PU</v>
      </c>
      <c r="AH41" s="5" t="str">
        <f>_xlfn.XLOOKUP(AC41,Legend!$A$24:$A$34,Legend!$C$24:$C$34)</f>
        <v>WH</v>
      </c>
      <c r="AI41" s="16">
        <f t="shared" si="9"/>
        <v>0.43923974524761872</v>
      </c>
      <c r="AJ41" s="16">
        <f t="shared" si="10"/>
        <v>0.34223513572463232</v>
      </c>
    </row>
    <row r="42" spans="1:36">
      <c r="B42" s="27" t="str">
        <f t="shared" si="3"/>
        <v>IE,National</v>
      </c>
      <c r="C42" s="27" t="str">
        <f t="shared" si="3"/>
        <v>S-WH-PU_SOL_X0</v>
      </c>
      <c r="D42" s="9" t="str">
        <f t="shared" si="0"/>
        <v>Public Services - Water heating: Solar</v>
      </c>
      <c r="E42" s="43" t="str">
        <f t="shared" si="8"/>
        <v>SRVSOL</v>
      </c>
      <c r="F42" s="43"/>
      <c r="G42" s="9" t="str">
        <f>IF($AE42="","",CONCATENATE(Legend!$C$4,AH42,"-",AG42))</f>
        <v>SRVWH-PU</v>
      </c>
      <c r="H42" s="43">
        <f>IF($AE42="","",SUMIFS('Key Inputs'!$K$29:$K$114,'Key Inputs'!$A$29:$A$114,$AB42,'Key Inputs'!$B$29:$B$114,$AC42,'Key Inputs'!$C$29:$C$114,$AD42))</f>
        <v>0</v>
      </c>
      <c r="I42" s="255">
        <f>IF($AE42="","",SUMIFS('Key Inputs'!$G$29:$G$114,'Key Inputs'!$A$29:$A$114,$AB42,'Key Inputs'!$B$29:$B$114,$AC42,'Key Inputs'!$C$29:$C$114,$AD42))</f>
        <v>0.99999999999999989</v>
      </c>
      <c r="J42" s="255">
        <f>IF($AE42="","",SUMIFS('Key Inputs'!$I$29:$I$114,'Key Inputs'!$A$29:$A$114,$AB42,'Key Inputs'!$B$29:$B$114,$AC42,'Key Inputs'!$C$29:$C$114,$AD42)/8760)</f>
        <v>2.2831050228310501E-2</v>
      </c>
      <c r="K42" s="257">
        <f>IF($AE42="","",SUMIFS('Key Inputs'!$H$29:$H$114,'Key Inputs'!$A$29:$A$114,$AB42,'Key Inputs'!$B$29:$B$114,$AC42,'Key Inputs'!$C$29:$C$114,$AD42))</f>
        <v>15</v>
      </c>
      <c r="L42" s="51">
        <f t="shared" si="2"/>
        <v>31.536000000000001</v>
      </c>
      <c r="M42" s="51"/>
      <c r="R42" s="27" t="str">
        <f t="shared" si="12"/>
        <v>PRE</v>
      </c>
      <c r="S42" s="36" t="str">
        <f>IF($AE42="","",_xlfn.TEXTJOIN(",",TRUE,IF(LEFT(Regions!$C$3,1)&lt;&gt;"*",Regions!$C$3,""),IF(LEFT(Regions!$D$3,1)&lt;&gt;"*",Regions!$D$3,"")))</f>
        <v>IE,National</v>
      </c>
      <c r="T42" s="9" t="str">
        <f>IF($AE42="","",CONCATENATE(LEFT(Legend!$C$4),"-",$AH42,"-",$AG42,"_",$AE42,"_X0"))</f>
        <v>S-WH-PU_SOL_X0</v>
      </c>
      <c r="U42" s="9" t="str">
        <f t="shared" si="4"/>
        <v>Public Services - Water heating: Solar</v>
      </c>
      <c r="V42" s="9" t="str">
        <f t="shared" si="5"/>
        <v>PJ</v>
      </c>
      <c r="W42" s="9" t="str">
        <f t="shared" si="6"/>
        <v>GW</v>
      </c>
      <c r="X42" s="9" t="str">
        <f t="shared" si="7"/>
        <v>ANNUAL</v>
      </c>
      <c r="Y42" s="9"/>
      <c r="Z42" s="9"/>
      <c r="AB42" s="5" t="str">
        <f>IF('Key Inputs'!A64="","",'Key Inputs'!A64)</f>
        <v>Public Services</v>
      </c>
      <c r="AC42" s="5" t="str">
        <f>IF('Key Inputs'!B64="","",'Key Inputs'!B64)</f>
        <v>Water heating</v>
      </c>
      <c r="AD42" s="5" t="str">
        <f>IF('Key Inputs'!C64="","",'Key Inputs'!C64)</f>
        <v>Solar</v>
      </c>
      <c r="AE42" s="5" t="str">
        <f>IF('Key Inputs'!D64="","",'Key Inputs'!D64)</f>
        <v>SOL</v>
      </c>
      <c r="AF42" s="5" t="str">
        <f>IF('Key Inputs'!E64="","",'Key Inputs'!E64)</f>
        <v>SRVSOL</v>
      </c>
      <c r="AG42" s="5" t="str">
        <f>_xlfn.XLOOKUP(AB42,Legend!$A$21:$A$22,Legend!$C$21:$C$22)</f>
        <v>PU</v>
      </c>
      <c r="AH42" s="5" t="str">
        <f>_xlfn.XLOOKUP(AC42,Legend!$A$24:$A$34,Legend!$C$24:$C$34)</f>
        <v>WH</v>
      </c>
      <c r="AI42" s="16">
        <f t="shared" si="9"/>
        <v>0</v>
      </c>
      <c r="AJ42" s="16">
        <f t="shared" si="10"/>
        <v>0</v>
      </c>
    </row>
    <row r="43" spans="1:36" s="6" customFormat="1">
      <c r="A43" s="15"/>
      <c r="B43" s="15" t="str">
        <f>IF($AE43="",R43,T43)</f>
        <v>*Public Services Space cooling</v>
      </c>
      <c r="C43" s="15"/>
      <c r="D43" s="15"/>
      <c r="E43" s="264"/>
      <c r="F43" s="264"/>
      <c r="G43" s="15"/>
      <c r="H43" s="264"/>
      <c r="I43" s="265"/>
      <c r="J43" s="265"/>
      <c r="K43" s="266"/>
      <c r="L43" s="75"/>
      <c r="M43" s="75"/>
      <c r="N43" s="267"/>
      <c r="O43" s="267"/>
      <c r="P43" s="267"/>
      <c r="Q43" s="267"/>
      <c r="R43" s="15" t="str">
        <f t="shared" si="12"/>
        <v>*Public Services Space cooling</v>
      </c>
      <c r="S43" s="36"/>
      <c r="T43" s="15"/>
      <c r="U43" s="15"/>
      <c r="V43" s="15"/>
      <c r="W43" s="15"/>
      <c r="X43" s="15"/>
      <c r="AA43" s="267"/>
      <c r="AI43" s="16"/>
      <c r="AJ43" s="165"/>
    </row>
    <row r="44" spans="1:36">
      <c r="B44" s="27" t="str">
        <f t="shared" si="3"/>
        <v>IE,National</v>
      </c>
      <c r="C44" s="27" t="str">
        <f t="shared" si="3"/>
        <v>S-SC-PU_GAS_X0</v>
      </c>
      <c r="D44" s="9" t="str">
        <f t="shared" si="0"/>
        <v>Public Services - Space cooling: Natural Gas</v>
      </c>
      <c r="E44" s="43" t="str">
        <f t="shared" si="8"/>
        <v>SRVGAS</v>
      </c>
      <c r="F44" s="43"/>
      <c r="G44" s="9" t="str">
        <f>IF($AE44="","",CONCATENATE(Legend!$C$4,AH44,"-",AG44))</f>
        <v>SRVSC-PU</v>
      </c>
      <c r="H44" s="43">
        <f>IF($AE44="","",SUMIFS('Key Inputs'!$K$29:$K$114,'Key Inputs'!$A$29:$A$114,$AB44,'Key Inputs'!$B$29:$B$114,$AC44,'Key Inputs'!$C$29:$C$114,$AD44))</f>
        <v>7.6113221733785661E-3</v>
      </c>
      <c r="I44" s="72">
        <f>IF($AE44="","",SUMIFS('Key Inputs'!$G$29:$G$114,'Key Inputs'!$A$29:$A$114,$AB44,'Key Inputs'!$B$29:$B$114,$AC44,'Key Inputs'!$C$29:$C$114,$AD44))</f>
        <v>2.7679848891515557</v>
      </c>
      <c r="J44" s="72">
        <f>IF($AE44="","",SUMIFS('Key Inputs'!$I$29:$I$114,'Key Inputs'!$A$29:$A$114,$AB44,'Key Inputs'!$B$29:$B$114,$AC44,'Key Inputs'!$C$29:$C$114,$AD44)/8760)</f>
        <v>3.4246575342465752E-2</v>
      </c>
      <c r="K44" s="261">
        <f>IF($AE44="","",SUMIFS('Key Inputs'!$H$29:$H$114,'Key Inputs'!$A$29:$A$114,$AB44,'Key Inputs'!$B$29:$B$114,$AC44,'Key Inputs'!$C$29:$C$114,$AD44))</f>
        <v>15</v>
      </c>
      <c r="L44" s="51">
        <f t="shared" si="2"/>
        <v>31.536000000000001</v>
      </c>
      <c r="M44" s="51"/>
      <c r="R44" s="27" t="str">
        <f t="shared" si="12"/>
        <v>PRE</v>
      </c>
      <c r="S44" s="36" t="str">
        <f>IF($AE44="","",_xlfn.TEXTJOIN(",",TRUE,IF(LEFT(Regions!$C$3,1)&lt;&gt;"*",Regions!$C$3,""),IF(LEFT(Regions!$D$3,1)&lt;&gt;"*",Regions!$D$3,"")))</f>
        <v>IE,National</v>
      </c>
      <c r="T44" s="9" t="str">
        <f>IF($AE44="","",CONCATENATE(LEFT(Legend!$C$4),"-",$AH44,"-",$AG44,"_",$AE44,"_X0"))</f>
        <v>S-SC-PU_GAS_X0</v>
      </c>
      <c r="U44" s="9" t="str">
        <f t="shared" si="4"/>
        <v>Public Services - Space cooling: Natural Gas</v>
      </c>
      <c r="V44" s="9" t="str">
        <f t="shared" si="5"/>
        <v>PJ</v>
      </c>
      <c r="W44" s="9" t="str">
        <f t="shared" si="6"/>
        <v>GW</v>
      </c>
      <c r="X44" s="9" t="str">
        <f t="shared" si="7"/>
        <v>ANNUAL</v>
      </c>
      <c r="AB44" s="5" t="str">
        <f>IF('Key Inputs'!A66="","",'Key Inputs'!A66)</f>
        <v>Public Services</v>
      </c>
      <c r="AC44" s="5" t="str">
        <f>IF('Key Inputs'!B66="","",'Key Inputs'!B66)</f>
        <v>Space cooling</v>
      </c>
      <c r="AD44" s="5" t="str">
        <f>IF('Key Inputs'!C66="","",'Key Inputs'!C66)</f>
        <v>Natural Gas</v>
      </c>
      <c r="AE44" s="5" t="str">
        <f>IF('Key Inputs'!D66="","",'Key Inputs'!D66)</f>
        <v>GAS</v>
      </c>
      <c r="AF44" s="5" t="str">
        <f>IF('Key Inputs'!E66="","",'Key Inputs'!E66)</f>
        <v>SRVGAS</v>
      </c>
      <c r="AG44" s="5" t="str">
        <f>_xlfn.XLOOKUP(AB44,Legend!$A$21:$A$22,Legend!$C$21:$C$22)</f>
        <v>PU</v>
      </c>
      <c r="AH44" s="5" t="str">
        <f>_xlfn.XLOOKUP(AC44,Legend!$A$24:$A$34,Legend!$C$24:$C$34)</f>
        <v>SC</v>
      </c>
      <c r="AI44" s="16">
        <f t="shared" si="9"/>
        <v>2.96975174231118E-3</v>
      </c>
      <c r="AJ44" s="16">
        <f t="shared" si="10"/>
        <v>8.2202279472488506E-3</v>
      </c>
    </row>
    <row r="45" spans="1:36">
      <c r="B45" s="34" t="str">
        <f t="shared" si="3"/>
        <v>IE,National</v>
      </c>
      <c r="C45" s="34" t="str">
        <f t="shared" si="3"/>
        <v>S-SC-PU_ELC_X0</v>
      </c>
      <c r="D45" s="14" t="str">
        <f t="shared" si="0"/>
        <v>Public Services - Space cooling: Electricity</v>
      </c>
      <c r="E45" s="77" t="str">
        <f t="shared" si="8"/>
        <v>SRVELC</v>
      </c>
      <c r="F45" s="77"/>
      <c r="G45" s="14" t="str">
        <f>IF($AE45="","",CONCATENATE(Legend!$C$4,AH45,"-",AG45))</f>
        <v>SRVSC-PU</v>
      </c>
      <c r="H45" s="77">
        <f>IF($AE45="","",SUMIFS('Key Inputs'!$K$29:$K$114,'Key Inputs'!$A$29:$A$114,$AB45,'Key Inputs'!$B$29:$B$114,$AC45,'Key Inputs'!$C$29:$C$114,$AD45))</f>
        <v>0.97987084857008278</v>
      </c>
      <c r="I45" s="262">
        <f>IF($AE45="","",SUMIFS('Key Inputs'!$G$29:$G$114,'Key Inputs'!$A$29:$A$114,$AB45,'Key Inputs'!$B$29:$B$114,$AC45,'Key Inputs'!$C$29:$C$114,$AD45))</f>
        <v>2.7466471585410193</v>
      </c>
      <c r="J45" s="262">
        <f>IF($AE45="","",SUMIFS('Key Inputs'!$I$29:$I$114,'Key Inputs'!$A$29:$A$114,$AB45,'Key Inputs'!$B$29:$B$114,$AC45,'Key Inputs'!$C$29:$C$114,$AD45)/8760)</f>
        <v>3.4246575342465752E-2</v>
      </c>
      <c r="K45" s="263">
        <f>IF($AE45="","",SUMIFS('Key Inputs'!$H$29:$H$114,'Key Inputs'!$A$29:$A$114,$AB45,'Key Inputs'!$B$29:$B$114,$AC45,'Key Inputs'!$C$29:$C$114,$AD45))</f>
        <v>15</v>
      </c>
      <c r="L45" s="153">
        <f t="shared" si="2"/>
        <v>31.536000000000001</v>
      </c>
      <c r="M45" s="153"/>
      <c r="N45" s="73"/>
      <c r="O45" s="73"/>
      <c r="P45" s="73"/>
      <c r="R45" s="34" t="str">
        <f>IF($AE45="","*"&amp;#REF!&amp;" "&amp;#REF!,"PRE")</f>
        <v>PRE</v>
      </c>
      <c r="S45" s="46" t="str">
        <f>IF($AE45="","",_xlfn.TEXTJOIN(",",TRUE,IF(LEFT(Regions!$C$3,1)&lt;&gt;"*",Regions!$C$3,""),IF(LEFT(Regions!$D$3,1)&lt;&gt;"*",Regions!$D$3,"")))</f>
        <v>IE,National</v>
      </c>
      <c r="T45" s="14" t="str">
        <f>IF($AE45="","",CONCATENATE(LEFT(Legend!$C$4),"-",$AH45,"-",$AG45,"_",$AE45,"_X0"))</f>
        <v>S-SC-PU_ELC_X0</v>
      </c>
      <c r="U45" s="14" t="str">
        <f t="shared" si="4"/>
        <v>Public Services - Space cooling: Electricity</v>
      </c>
      <c r="V45" s="14" t="str">
        <f t="shared" si="5"/>
        <v>PJ</v>
      </c>
      <c r="W45" s="14" t="str">
        <f t="shared" si="6"/>
        <v>GW</v>
      </c>
      <c r="X45" s="14" t="str">
        <f t="shared" si="7"/>
        <v>ANNUAL</v>
      </c>
      <c r="Y45" s="10"/>
      <c r="Z45" s="10"/>
      <c r="AB45" s="5" t="str">
        <f>IF('Key Inputs'!A67="","",'Key Inputs'!A67)</f>
        <v>Public Services</v>
      </c>
      <c r="AC45" s="5" t="str">
        <f>IF('Key Inputs'!B67="","",'Key Inputs'!B67)</f>
        <v>Space cooling</v>
      </c>
      <c r="AD45" s="5" t="str">
        <f>IF('Key Inputs'!C67="","",'Key Inputs'!C67)</f>
        <v>Electricity</v>
      </c>
      <c r="AE45" s="5" t="str">
        <f>IF('Key Inputs'!D67="","",'Key Inputs'!D67)</f>
        <v>ELC</v>
      </c>
      <c r="AF45" s="5" t="str">
        <f>IF('Key Inputs'!E67="","",'Key Inputs'!E67)</f>
        <v>SRVELC</v>
      </c>
      <c r="AG45" s="5" t="str">
        <f>_xlfn.XLOOKUP(AB45,Legend!$A$21:$A$22,Legend!$C$21:$C$22)</f>
        <v>PU</v>
      </c>
      <c r="AH45" s="5" t="str">
        <f>_xlfn.XLOOKUP(AC45,Legend!$A$24:$A$34,Legend!$C$24:$C$34)</f>
        <v>SC</v>
      </c>
      <c r="AI45" s="16">
        <f t="shared" si="9"/>
        <v>0.3852917595057323</v>
      </c>
      <c r="AJ45" s="16">
        <f t="shared" si="10"/>
        <v>1.0582605164556893</v>
      </c>
    </row>
    <row r="46" spans="1:36">
      <c r="R46"/>
      <c r="S46"/>
      <c r="T46"/>
      <c r="U46"/>
    </row>
    <row r="47" spans="1:36">
      <c r="G47" s="15" t="s">
        <v>510</v>
      </c>
      <c r="H47" s="75">
        <f>SUM(H7:H45)</f>
        <v>14.28513611491428</v>
      </c>
      <c r="R47"/>
      <c r="S47"/>
      <c r="T47"/>
      <c r="U47"/>
      <c r="AI47" s="165">
        <f>SUM(AI7:AI45)</f>
        <v>26.913599064051542</v>
      </c>
      <c r="AJ47" s="165">
        <f>SUM(AJ7:AJ45)</f>
        <v>24.081674819962302</v>
      </c>
    </row>
    <row r="48" spans="1:36">
      <c r="R48"/>
      <c r="S48"/>
      <c r="T48"/>
      <c r="U48"/>
    </row>
    <row r="49" spans="18:21">
      <c r="R49"/>
      <c r="S49"/>
      <c r="T49"/>
      <c r="U49"/>
    </row>
    <row r="50" spans="18:21">
      <c r="R50"/>
      <c r="S50"/>
      <c r="T50"/>
      <c r="U50"/>
    </row>
    <row r="51" spans="18:21">
      <c r="R51"/>
      <c r="S51"/>
      <c r="T51"/>
      <c r="U51"/>
    </row>
    <row r="52" spans="18:21">
      <c r="R52"/>
      <c r="S52"/>
      <c r="T52"/>
      <c r="U52"/>
    </row>
    <row r="53" spans="18:21">
      <c r="R53"/>
      <c r="S53"/>
      <c r="T53"/>
      <c r="U53"/>
    </row>
    <row r="54" spans="18:21">
      <c r="R54"/>
      <c r="S54"/>
      <c r="T54"/>
      <c r="U54"/>
    </row>
    <row r="55" spans="18:21">
      <c r="R55"/>
      <c r="S55"/>
      <c r="T55"/>
      <c r="U55"/>
    </row>
    <row r="56" spans="18:21">
      <c r="R56"/>
      <c r="S56"/>
      <c r="T56"/>
      <c r="U56"/>
    </row>
    <row r="57" spans="18:21">
      <c r="R57"/>
      <c r="S57"/>
      <c r="T57"/>
      <c r="U57"/>
    </row>
  </sheetData>
  <mergeCells count="7">
    <mergeCell ref="AG3:AG4"/>
    <mergeCell ref="AH3:AH4"/>
    <mergeCell ref="AB3:AB4"/>
    <mergeCell ref="AC3:AC4"/>
    <mergeCell ref="AD3:AD4"/>
    <mergeCell ref="AE3:AE4"/>
    <mergeCell ref="AF3:AF4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theme="9" tint="0.59999389629810485"/>
  </sheetPr>
  <dimension ref="B1:AD21"/>
  <sheetViews>
    <sheetView zoomScale="80" zoomScaleNormal="80" workbookViewId="0">
      <selection activeCell="H12" sqref="H12"/>
    </sheetView>
  </sheetViews>
  <sheetFormatPr defaultColWidth="8.81640625" defaultRowHeight="14.5"/>
  <cols>
    <col min="1" max="1" width="2.26953125" style="9" customWidth="1"/>
    <col min="2" max="2" width="22" style="9" customWidth="1"/>
    <col min="3" max="3" width="48.7265625" style="9" bestFit="1" customWidth="1"/>
    <col min="4" max="4" width="17.26953125" style="9" bestFit="1" customWidth="1"/>
    <col min="5" max="5" width="16.26953125" style="9" customWidth="1"/>
    <col min="6" max="10" width="13" style="9" customWidth="1"/>
    <col min="11" max="11" width="4.81640625" style="9" customWidth="1"/>
    <col min="12" max="13" width="14.54296875" style="9" customWidth="1"/>
    <col min="14" max="14" width="16.54296875" style="9" bestFit="1" customWidth="1"/>
    <col min="15" max="15" width="44.453125" style="9" bestFit="1" customWidth="1"/>
    <col min="16" max="20" width="9.7265625" style="9" customWidth="1"/>
    <col min="21" max="21" width="4.81640625" style="9" customWidth="1"/>
    <col min="22" max="22" width="21.453125" style="9" bestFit="1" customWidth="1"/>
    <col min="23" max="23" width="8.81640625" style="9" bestFit="1" customWidth="1"/>
    <col min="24" max="24" width="12.81640625" style="9" bestFit="1" customWidth="1"/>
    <col min="25" max="25" width="10.1796875" style="9" bestFit="1" customWidth="1"/>
    <col min="26" max="26" width="9.54296875" style="9" bestFit="1" customWidth="1"/>
    <col min="27" max="27" width="11.26953125" style="9" bestFit="1" customWidth="1"/>
    <col min="28" max="28" width="14.26953125" style="9" bestFit="1" customWidth="1"/>
    <col min="29" max="30" width="16.7265625" style="9" customWidth="1"/>
    <col min="31" max="31" width="4.81640625" style="9" customWidth="1"/>
    <col min="32" max="32" width="8.81640625" style="9"/>
    <col min="33" max="34" width="19.26953125" style="9" customWidth="1"/>
    <col min="35" max="48" width="8.81640625" style="9"/>
    <col min="49" max="49" width="12.26953125" style="9" bestFit="1" customWidth="1"/>
    <col min="50" max="16384" width="8.81640625" style="9"/>
  </cols>
  <sheetData>
    <row r="1" spans="2:30" ht="23.5">
      <c r="B1" s="20" t="s">
        <v>504</v>
      </c>
      <c r="C1" s="20"/>
    </row>
    <row r="2" spans="2:30">
      <c r="B2" s="40" t="s">
        <v>86</v>
      </c>
      <c r="L2" s="35" t="s">
        <v>13</v>
      </c>
      <c r="M2" s="35"/>
      <c r="N2" s="36"/>
      <c r="O2" s="36"/>
      <c r="P2" s="36"/>
      <c r="Q2" s="36"/>
      <c r="R2" s="36"/>
      <c r="S2" s="36"/>
      <c r="T2" s="36"/>
      <c r="AD2" s="14"/>
    </row>
    <row r="3" spans="2:30" ht="15" thickBot="1">
      <c r="B3" s="21" t="s">
        <v>4</v>
      </c>
      <c r="C3" s="41" t="s">
        <v>123</v>
      </c>
      <c r="D3" s="21" t="s">
        <v>22</v>
      </c>
      <c r="E3" s="21" t="s">
        <v>23</v>
      </c>
      <c r="F3" s="21" t="s">
        <v>111</v>
      </c>
      <c r="G3" s="21" t="s">
        <v>87</v>
      </c>
      <c r="H3" s="21" t="s">
        <v>142</v>
      </c>
      <c r="I3" s="21" t="s">
        <v>29</v>
      </c>
      <c r="J3" s="21" t="s">
        <v>124</v>
      </c>
      <c r="L3" s="21" t="s">
        <v>14</v>
      </c>
      <c r="M3" s="21" t="s">
        <v>520</v>
      </c>
      <c r="N3" s="21" t="s">
        <v>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V3" s="609" t="s">
        <v>378</v>
      </c>
      <c r="W3" s="609" t="s">
        <v>160</v>
      </c>
      <c r="X3" s="609" t="s">
        <v>81</v>
      </c>
      <c r="Y3" s="609" t="s">
        <v>498</v>
      </c>
      <c r="Z3" s="609" t="s">
        <v>499</v>
      </c>
      <c r="AA3" s="609" t="s">
        <v>500</v>
      </c>
      <c r="AB3" s="609" t="s">
        <v>501</v>
      </c>
      <c r="AC3" s="49" t="s">
        <v>77</v>
      </c>
      <c r="AD3" s="135"/>
    </row>
    <row r="4" spans="2:30" ht="52.5" thickBot="1">
      <c r="B4" s="39" t="s">
        <v>125</v>
      </c>
      <c r="C4" s="39" t="s">
        <v>89</v>
      </c>
      <c r="D4" s="39" t="s">
        <v>126</v>
      </c>
      <c r="E4" s="39" t="s">
        <v>127</v>
      </c>
      <c r="F4" s="39" t="s">
        <v>143</v>
      </c>
      <c r="G4" s="39" t="s">
        <v>129</v>
      </c>
      <c r="H4" s="39" t="s">
        <v>128</v>
      </c>
      <c r="I4" s="39" t="s">
        <v>136</v>
      </c>
      <c r="J4" s="39" t="s">
        <v>130</v>
      </c>
      <c r="L4" s="37" t="s">
        <v>115</v>
      </c>
      <c r="M4" s="37" t="s">
        <v>534</v>
      </c>
      <c r="N4" s="37" t="s">
        <v>116</v>
      </c>
      <c r="O4" s="37" t="s">
        <v>89</v>
      </c>
      <c r="P4" s="37" t="s">
        <v>117</v>
      </c>
      <c r="Q4" s="37" t="s">
        <v>118</v>
      </c>
      <c r="R4" s="37" t="s">
        <v>119</v>
      </c>
      <c r="S4" s="39" t="s">
        <v>120</v>
      </c>
      <c r="T4" s="39" t="s">
        <v>121</v>
      </c>
      <c r="V4" s="610"/>
      <c r="W4" s="610"/>
      <c r="X4" s="610"/>
      <c r="Y4" s="610"/>
      <c r="Z4" s="610"/>
      <c r="AA4" s="610"/>
      <c r="AB4" s="610"/>
      <c r="AC4" s="13" t="s">
        <v>146</v>
      </c>
      <c r="AD4" s="56" t="s">
        <v>502</v>
      </c>
    </row>
    <row r="5" spans="2:30">
      <c r="B5" s="42" t="s">
        <v>131</v>
      </c>
      <c r="C5" s="42"/>
      <c r="D5" s="42"/>
      <c r="E5" s="42"/>
      <c r="F5" s="42" t="str">
        <f>Q7</f>
        <v>kunits</v>
      </c>
      <c r="G5" s="42" t="s">
        <v>132</v>
      </c>
      <c r="H5" s="42" t="s">
        <v>132</v>
      </c>
      <c r="I5" s="42" t="s">
        <v>138</v>
      </c>
      <c r="J5" s="42" t="s">
        <v>507</v>
      </c>
      <c r="L5" s="270" t="s">
        <v>496</v>
      </c>
      <c r="M5" s="42"/>
      <c r="N5" s="271"/>
      <c r="O5" s="271"/>
      <c r="P5" s="271"/>
      <c r="Q5" s="271"/>
      <c r="R5" s="271"/>
      <c r="S5" s="271"/>
      <c r="T5" s="271"/>
      <c r="V5" s="17"/>
      <c r="W5" s="17"/>
      <c r="X5" s="17"/>
      <c r="Y5" s="17"/>
      <c r="Z5" s="17"/>
      <c r="AA5" s="17"/>
      <c r="AB5" s="17"/>
      <c r="AC5" s="57" t="s">
        <v>46</v>
      </c>
      <c r="AD5" s="57" t="s">
        <v>46</v>
      </c>
    </row>
    <row r="6" spans="2:30" s="15" customFormat="1">
      <c r="B6" s="15" t="str">
        <f t="shared" ref="B6" si="0">IF($Y6="",L6,N6)</f>
        <v>*Commercial Services Cooking</v>
      </c>
      <c r="D6" s="264"/>
      <c r="F6" s="264"/>
      <c r="G6" s="265"/>
      <c r="H6" s="265"/>
      <c r="I6" s="266"/>
      <c r="J6" s="53"/>
      <c r="L6" s="15" t="str">
        <f t="shared" ref="L6" si="1">IF($Y6="","*"&amp;V7&amp;" "&amp;W7,"PRE")</f>
        <v>*Commercial Services Cooking</v>
      </c>
      <c r="M6" s="36"/>
      <c r="P6" s="9"/>
      <c r="V6" s="9" t="str">
        <f>IF('Key Inputs'!A74="","",'Key Inputs'!A74)</f>
        <v/>
      </c>
      <c r="W6" s="9" t="str">
        <f>IF('Key Inputs'!B74="","",'Key Inputs'!B74)</f>
        <v/>
      </c>
      <c r="X6" s="9" t="str">
        <f>IF('Key Inputs'!C74="","",'Key Inputs'!C74)</f>
        <v/>
      </c>
      <c r="Y6" s="9" t="str">
        <f>IF('Key Inputs'!D74="","",'Key Inputs'!D74)</f>
        <v/>
      </c>
      <c r="Z6" s="9" t="str">
        <f>IF('Key Inputs'!E74="","",'Key Inputs'!E74)</f>
        <v/>
      </c>
      <c r="AC6" s="16" t="str">
        <f t="shared" ref="AC6:AC15" si="2">IF($Y6="","",AD6/G6)</f>
        <v/>
      </c>
      <c r="AD6" s="16" t="str">
        <f t="shared" ref="AD6:AD15" si="3">IF($Y6="","",F6*H6*J6)</f>
        <v/>
      </c>
    </row>
    <row r="7" spans="2:30">
      <c r="B7" s="27" t="str">
        <f t="shared" ref="B7" si="4">IF($Y7="",L7,N7)</f>
        <v>S-CK-CS_LPG_X0</v>
      </c>
      <c r="C7" s="9" t="str">
        <f t="shared" ref="C7" si="5">IF($Y7="","",O7)</f>
        <v>Commercial Services - Cooking: LPG</v>
      </c>
      <c r="D7" s="43" t="str">
        <f t="shared" ref="D7:D15" si="6">IF($Y7="","",Z7)</f>
        <v>SRVLPG</v>
      </c>
      <c r="E7" s="9" t="str">
        <f>IF($Y7="","",CONCATENATE(Legend!$C$4,AB7,"-",AA7))</f>
        <v>SRVCK-CS</v>
      </c>
      <c r="F7" s="43">
        <f>IF($Y7="","",SUMIFS('Key Inputs'!$L$29:$L$114,'Key Inputs'!$A$29:$A$114,$V7,'Key Inputs'!$B$29:$B$114,$W7,'Key Inputs'!$C$29:$C$114,$X7))</f>
        <v>20.936220567216363</v>
      </c>
      <c r="G7" s="43">
        <f>IF($Y7="","",SUMIFS('Key Inputs'!$G$29:$G$114,'Key Inputs'!$A$29:$A$114,$V7,'Key Inputs'!$B$29:$B$114,$W7,'Key Inputs'!$C$29:$C$114,$X7))</f>
        <v>0.48571820894923945</v>
      </c>
      <c r="H7" s="255">
        <f>IF($Y7="","",SUMIFS('Key Inputs'!$I$29:$I$114,'Key Inputs'!$A$29:$A$114,$V7,'Key Inputs'!$B$29:$B$114,$W7,'Key Inputs'!$C$29:$C$114,$X7)/8760)*1.01</f>
        <v>9.223744292237443E-2</v>
      </c>
      <c r="I7" s="53">
        <f>IF($Y7="","",SUMIFS('Key Inputs'!$H$29:$H$114,'Key Inputs'!$A$29:$A$114,$V7,'Key Inputs'!$B$29:$B$114,$W7,'Key Inputs'!$C$29:$C$114,$X7))</f>
        <v>15</v>
      </c>
      <c r="J7" s="43">
        <f>IF($Y7="","",SUMIFS('Key Inputs'!$J$29:$J$114,'Key Inputs'!$A$29:$A$114,$V7,'Key Inputs'!$B$29:$B$114,$W7,'Key Inputs'!$C$29:$C$114,$X7)/1000*31.536)</f>
        <v>0.47304000000000002</v>
      </c>
      <c r="L7" s="27" t="str">
        <f t="shared" ref="L7" si="7">IF($Y7="","*"&amp;V8&amp;" "&amp;W8,"PRE")</f>
        <v>PRE</v>
      </c>
      <c r="M7" s="36" t="str">
        <f>IF($AB7="","",_xlfn.TEXTJOIN(",",TRUE,IF(LEFT(Regions!$C$3,1)&lt;&gt;"*",Regions!$C$3,""),IF(LEFT(Regions!$D$3,1)&lt;&gt;"*",Regions!$D$3,"")))</f>
        <v>IE,National</v>
      </c>
      <c r="N7" s="9" t="str">
        <f>IF($Y7="","",CONCATENATE(LEFT(Legend!$C$4),"-",$AB7,"-",$AA7,"_",$Y7,"_X0"))</f>
        <v>S-CK-CS_LPG_X0</v>
      </c>
      <c r="O7" s="9" t="str">
        <f t="shared" ref="O7:O15" si="8">IF($Y7="","",CONCATENATE(V7," - ",W7,": ",X7))</f>
        <v>Commercial Services - Cooking: LPG</v>
      </c>
      <c r="P7" s="9" t="str">
        <f>IF($Y7="","","PJ")</f>
        <v>PJ</v>
      </c>
      <c r="Q7" s="9" t="str">
        <f t="shared" ref="Q7:Q15" si="9">IF($Y7="","","kunits")</f>
        <v>kunits</v>
      </c>
      <c r="R7" s="9" t="str">
        <f t="shared" ref="R7:R15" si="10">IF($Y7="","","ANNUAL")</f>
        <v>ANNUAL</v>
      </c>
      <c r="V7" s="9" t="str">
        <f>IF('Key Inputs'!A75="","",'Key Inputs'!A75)</f>
        <v>Commercial Services</v>
      </c>
      <c r="W7" s="9" t="str">
        <f>IF('Key Inputs'!B75="","",'Key Inputs'!B75)</f>
        <v>Cooking</v>
      </c>
      <c r="X7" s="9" t="str">
        <f>IF('Key Inputs'!C75="","",'Key Inputs'!C75)</f>
        <v>LPG</v>
      </c>
      <c r="Y7" s="9" t="str">
        <f>IF('Key Inputs'!D75="","",'Key Inputs'!D75)</f>
        <v>LPG</v>
      </c>
      <c r="Z7" s="9" t="str">
        <f>IF('Key Inputs'!E75="","",'Key Inputs'!E75)</f>
        <v>SRVLPG</v>
      </c>
      <c r="AA7" s="9" t="str">
        <f>_xlfn.XLOOKUP(V7,Legend!$A$21:$A$22,Legend!$C$21:$C$22)</f>
        <v>CS</v>
      </c>
      <c r="AB7" s="9" t="str">
        <f>_xlfn.XLOOKUP(W7,Legend!$A$24:$A$34,Legend!$C$24:$C$34)</f>
        <v>CK</v>
      </c>
      <c r="AC7" s="16">
        <f t="shared" si="2"/>
        <v>1.8806978181134024</v>
      </c>
      <c r="AD7" s="16">
        <f t="shared" si="3"/>
        <v>0.9134891757887843</v>
      </c>
    </row>
    <row r="8" spans="2:30">
      <c r="B8" s="27" t="str">
        <f t="shared" ref="B8:B15" si="11">IF($Y8="",L8,N8)</f>
        <v>S-CK-CS_GAS_X0</v>
      </c>
      <c r="C8" s="9" t="str">
        <f t="shared" ref="C8:C15" si="12">IF($Y8="","",O8)</f>
        <v>Commercial Services - Cooking: Natural Gas</v>
      </c>
      <c r="D8" s="43" t="str">
        <f t="shared" si="6"/>
        <v>SRVGAS</v>
      </c>
      <c r="E8" s="9" t="str">
        <f>IF($Y8="","",CONCATENATE(Legend!$C$4,AB8,"-",AA8))</f>
        <v>SRVCK-CS</v>
      </c>
      <c r="F8" s="43">
        <f>IF($Y8="","",SUMIFS('Key Inputs'!$L$29:$L$114,'Key Inputs'!$A$29:$A$114,$V8,'Key Inputs'!$B$29:$B$114,$W8,'Key Inputs'!$C$29:$C$114,$X8))</f>
        <v>27.719128680544863</v>
      </c>
      <c r="G8" s="43">
        <f>IF($Y8="","",SUMIFS('Key Inputs'!$G$29:$G$114,'Key Inputs'!$A$29:$A$114,$V8,'Key Inputs'!$B$29:$B$114,$W8,'Key Inputs'!$C$29:$C$114,$X8))</f>
        <v>0.5299882794392895</v>
      </c>
      <c r="H8" s="255">
        <f>IF($Y8="","",SUMIFS('Key Inputs'!$I$29:$I$114,'Key Inputs'!$A$29:$A$114,$V8,'Key Inputs'!$B$29:$B$114,$W8,'Key Inputs'!$C$29:$C$114,$X8)/8760)</f>
        <v>9.1324200913242004E-2</v>
      </c>
      <c r="I8" s="257">
        <f>IF($Y8="","",SUMIFS('Key Inputs'!$H$29:$H$114,'Key Inputs'!$A$29:$A$114,$V8,'Key Inputs'!$B$29:$B$114,$W8,'Key Inputs'!$C$29:$C$114,$X8))</f>
        <v>15</v>
      </c>
      <c r="J8" s="51">
        <f>IF($Y8="","",SUMIFS('Key Inputs'!$J$29:$J$114,'Key Inputs'!$A$29:$A$114,$V8,'Key Inputs'!$B$29:$B$114,$W8,'Key Inputs'!$C$29:$C$114,$X8)/1000*31.536)</f>
        <v>0.47304000000000002</v>
      </c>
      <c r="L8" s="27" t="str">
        <f t="shared" ref="L8:L15" si="13">IF($Y8="","*"&amp;V9&amp;" "&amp;W9,"PRE")</f>
        <v>PRE</v>
      </c>
      <c r="M8" s="27" t="str">
        <f>IF($AB8="","",_xlfn.TEXTJOIN(",",TRUE,IF(LEFT(Regions!$C$3,1)&lt;&gt;"*",Regions!$C$3,""),IF(LEFT(Regions!$D$3,1)&lt;&gt;"*",Regions!$D$3,"")))</f>
        <v>IE,National</v>
      </c>
      <c r="N8" s="9" t="str">
        <f>IF($Y8="","",CONCATENATE(LEFT(Legend!$C$4),"-",$AB8,"-",$AA8,"_",$Y8,"_X0"))</f>
        <v>S-CK-CS_GAS_X0</v>
      </c>
      <c r="O8" s="9" t="str">
        <f t="shared" si="8"/>
        <v>Commercial Services - Cooking: Natural Gas</v>
      </c>
      <c r="P8" s="9" t="str">
        <f t="shared" ref="P8:P15" si="14">IF($Y8="","","PJ")</f>
        <v>PJ</v>
      </c>
      <c r="Q8" s="9" t="str">
        <f t="shared" si="9"/>
        <v>kunits</v>
      </c>
      <c r="R8" s="9" t="str">
        <f t="shared" si="10"/>
        <v>ANNUAL</v>
      </c>
      <c r="V8" s="9" t="str">
        <f>IF('Key Inputs'!A76="","",'Key Inputs'!A76)</f>
        <v>Commercial Services</v>
      </c>
      <c r="W8" s="9" t="str">
        <f>IF('Key Inputs'!B76="","",'Key Inputs'!B76)</f>
        <v>Cooking</v>
      </c>
      <c r="X8" s="9" t="str">
        <f>IF('Key Inputs'!C76="","",'Key Inputs'!C76)</f>
        <v>Natural Gas</v>
      </c>
      <c r="Y8" s="9" t="str">
        <f>IF('Key Inputs'!D76="","",'Key Inputs'!D76)</f>
        <v>GAS</v>
      </c>
      <c r="Z8" s="9" t="str">
        <f>IF('Key Inputs'!E76="","",'Key Inputs'!E76)</f>
        <v>SRVGAS</v>
      </c>
      <c r="AA8" s="9" t="str">
        <f>_xlfn.XLOOKUP(V8,Legend!$A$21:$A$22,Legend!$C$21:$C$22)</f>
        <v>CS</v>
      </c>
      <c r="AB8" s="9" t="str">
        <f>_xlfn.XLOOKUP(W8,Legend!$A$24:$A$34,Legend!$C$24:$C$34)</f>
        <v>CK</v>
      </c>
      <c r="AC8" s="16">
        <f t="shared" si="2"/>
        <v>2.2594204541021528</v>
      </c>
      <c r="AD8" s="16">
        <f t="shared" si="3"/>
        <v>1.197466358999538</v>
      </c>
    </row>
    <row r="9" spans="2:30">
      <c r="B9" s="27" t="str">
        <f t="shared" si="11"/>
        <v>S-CK-CS_BIO_X0</v>
      </c>
      <c r="C9" s="9" t="str">
        <f t="shared" si="12"/>
        <v>Commercial Services - Cooking: Biomass</v>
      </c>
      <c r="D9" s="43" t="str">
        <f t="shared" si="6"/>
        <v>SRVBIO</v>
      </c>
      <c r="E9" s="9" t="str">
        <f>IF($Y9="","",CONCATENATE(Legend!$C$4,AB9,"-",AA9))</f>
        <v>SRVCK-CS</v>
      </c>
      <c r="F9" s="43">
        <f>IF($Y9="","",SUMIFS('Key Inputs'!$L$29:$L$114,'Key Inputs'!$A$29:$A$114,$V9,'Key Inputs'!$B$29:$B$114,$W9,'Key Inputs'!$C$29:$C$114,$X9))</f>
        <v>0</v>
      </c>
      <c r="G9" s="43">
        <f>IF($Y9="","",SUMIFS('Key Inputs'!$G$29:$G$114,'Key Inputs'!$A$29:$A$114,$V9,'Key Inputs'!$B$29:$B$114,$W9,'Key Inputs'!$C$29:$C$114,$X9))</f>
        <v>0.33</v>
      </c>
      <c r="H9" s="255">
        <f>IF($Y9="","",SUMIFS('Key Inputs'!$I$29:$I$114,'Key Inputs'!$A$29:$A$114,$V9,'Key Inputs'!$B$29:$B$114,$W9,'Key Inputs'!$C$29:$C$114,$X9)/8760)</f>
        <v>9.1324200913242004E-2</v>
      </c>
      <c r="I9" s="257">
        <f>IF($Y9="","",SUMIFS('Key Inputs'!$H$29:$H$114,'Key Inputs'!$A$29:$A$114,$V9,'Key Inputs'!$B$29:$B$114,$W9,'Key Inputs'!$C$29:$C$114,$X9))</f>
        <v>15</v>
      </c>
      <c r="J9" s="51">
        <f>IF($Y9="","",SUMIFS('Key Inputs'!$J$29:$J$114,'Key Inputs'!$A$29:$A$114,$V9,'Key Inputs'!$B$29:$B$114,$W9,'Key Inputs'!$C$29:$C$114,$X9)/1000*31.536)</f>
        <v>0.47304000000000002</v>
      </c>
      <c r="L9" s="27" t="str">
        <f t="shared" si="13"/>
        <v>PRE</v>
      </c>
      <c r="M9" s="27" t="str">
        <f>IF($AB9="","",_xlfn.TEXTJOIN(",",TRUE,IF(LEFT(Regions!$C$3,1)&lt;&gt;"*",Regions!$C$3,""),IF(LEFT(Regions!$D$3,1)&lt;&gt;"*",Regions!$D$3,"")))</f>
        <v>IE,National</v>
      </c>
      <c r="N9" s="9" t="str">
        <f>IF($Y9="","",CONCATENATE(LEFT(Legend!$C$4),"-",$AB9,"-",$AA9,"_",$Y9,"_X0"))</f>
        <v>S-CK-CS_BIO_X0</v>
      </c>
      <c r="O9" s="9" t="str">
        <f t="shared" si="8"/>
        <v>Commercial Services - Cooking: Biomass</v>
      </c>
      <c r="P9" s="9" t="str">
        <f t="shared" si="14"/>
        <v>PJ</v>
      </c>
      <c r="Q9" s="9" t="str">
        <f t="shared" si="9"/>
        <v>kunits</v>
      </c>
      <c r="R9" s="9" t="str">
        <f t="shared" si="10"/>
        <v>ANNUAL</v>
      </c>
      <c r="V9" s="9" t="str">
        <f>IF('Key Inputs'!A77="","",'Key Inputs'!A77)</f>
        <v>Commercial Services</v>
      </c>
      <c r="W9" s="9" t="str">
        <f>IF('Key Inputs'!B77="","",'Key Inputs'!B77)</f>
        <v>Cooking</v>
      </c>
      <c r="X9" s="9" t="str">
        <f>IF('Key Inputs'!C77="","",'Key Inputs'!C77)</f>
        <v>Biomass</v>
      </c>
      <c r="Y9" s="9" t="str">
        <f>IF('Key Inputs'!D77="","",'Key Inputs'!D77)</f>
        <v>BIO</v>
      </c>
      <c r="Z9" s="9" t="str">
        <f>IF('Key Inputs'!E77="","",'Key Inputs'!E77)</f>
        <v>SRVBIO</v>
      </c>
      <c r="AA9" s="9" t="str">
        <f>_xlfn.XLOOKUP(V9,Legend!$A$21:$A$22,Legend!$C$21:$C$22)</f>
        <v>CS</v>
      </c>
      <c r="AB9" s="9" t="str">
        <f>_xlfn.XLOOKUP(W9,Legend!$A$24:$A$34,Legend!$C$24:$C$34)</f>
        <v>CK</v>
      </c>
      <c r="AC9" s="16">
        <f t="shared" si="2"/>
        <v>0</v>
      </c>
      <c r="AD9" s="16">
        <f t="shared" si="3"/>
        <v>0</v>
      </c>
    </row>
    <row r="10" spans="2:30">
      <c r="B10" s="34" t="str">
        <f t="shared" si="11"/>
        <v>S-CK-CS_ELC_X0</v>
      </c>
      <c r="C10" s="14" t="str">
        <f t="shared" si="12"/>
        <v>Commercial Services - Cooking: Electricity</v>
      </c>
      <c r="D10" s="77" t="str">
        <f t="shared" si="6"/>
        <v>SRVELC</v>
      </c>
      <c r="E10" s="14" t="str">
        <f>IF($Y10="","",CONCATENATE(Legend!$C$4,AB10,"-",AA10))</f>
        <v>SRVCK-CS</v>
      </c>
      <c r="F10" s="77">
        <f>IF($Y10="","",SUMIFS('Key Inputs'!$L$29:$L$114,'Key Inputs'!$A$29:$A$114,$V10,'Key Inputs'!$B$29:$B$114,$W10,'Key Inputs'!$C$29:$C$114,$X10))</f>
        <v>45.84464875360068</v>
      </c>
      <c r="G10" s="77">
        <f>IF($Y10="","",SUMIFS('Key Inputs'!$G$29:$G$114,'Key Inputs'!$A$29:$A$114,$V10,'Key Inputs'!$B$29:$B$114,$W10,'Key Inputs'!$C$29:$C$114,$X10))</f>
        <v>0.67758189334652785</v>
      </c>
      <c r="H10" s="262">
        <f>IF($Y10="","",SUMIFS('Key Inputs'!$I$29:$I$114,'Key Inputs'!$A$29:$A$114,$V10,'Key Inputs'!$B$29:$B$114,$W10,'Key Inputs'!$C$29:$C$114,$X10)/8760)</f>
        <v>9.1324200913242004E-2</v>
      </c>
      <c r="I10" s="263">
        <f>IF($Y10="","",SUMIFS('Key Inputs'!$H$29:$H$114,'Key Inputs'!$A$29:$A$114,$V10,'Key Inputs'!$B$29:$B$114,$W10,'Key Inputs'!$C$29:$C$114,$X10))</f>
        <v>15</v>
      </c>
      <c r="J10" s="153">
        <f>IF($Y10="","",SUMIFS('Key Inputs'!$J$29:$J$114,'Key Inputs'!$A$29:$A$114,$V10,'Key Inputs'!$B$29:$B$114,$W10,'Key Inputs'!$C$29:$C$114,$X10)/1000*31.536)</f>
        <v>0.47304000000000002</v>
      </c>
      <c r="L10" s="34" t="str">
        <f t="shared" si="13"/>
        <v>PRE</v>
      </c>
      <c r="M10" s="34" t="str">
        <f>IF($AB10="","",_xlfn.TEXTJOIN(",",TRUE,IF(LEFT(Regions!$C$3,1)&lt;&gt;"*",Regions!$C$3,""),IF(LEFT(Regions!$D$3,1)&lt;&gt;"*",Regions!$D$3,"")))</f>
        <v>IE,National</v>
      </c>
      <c r="N10" s="14" t="str">
        <f>IF($Y10="","",CONCATENATE(LEFT(Legend!$C$4),"-",$AB10,"-",$AA10,"_",$Y10,"_X0"))</f>
        <v>S-CK-CS_ELC_X0</v>
      </c>
      <c r="O10" s="14" t="str">
        <f t="shared" si="8"/>
        <v>Commercial Services - Cooking: Electricity</v>
      </c>
      <c r="P10" s="14" t="str">
        <f t="shared" si="14"/>
        <v>PJ</v>
      </c>
      <c r="Q10" s="14" t="str">
        <f t="shared" si="9"/>
        <v>kunits</v>
      </c>
      <c r="R10" s="14" t="str">
        <f t="shared" si="10"/>
        <v>ANNUAL</v>
      </c>
      <c r="S10" s="14"/>
      <c r="T10" s="14"/>
      <c r="V10" s="9" t="str">
        <f>IF('Key Inputs'!A78="","",'Key Inputs'!A78)</f>
        <v>Commercial Services</v>
      </c>
      <c r="W10" s="9" t="str">
        <f>IF('Key Inputs'!B78="","",'Key Inputs'!B78)</f>
        <v>Cooking</v>
      </c>
      <c r="X10" s="9" t="str">
        <f>IF('Key Inputs'!C78="","",'Key Inputs'!C78)</f>
        <v>Electricity</v>
      </c>
      <c r="Y10" s="9" t="str">
        <f>IF('Key Inputs'!D78="","",'Key Inputs'!D78)</f>
        <v>ELC</v>
      </c>
      <c r="Z10" s="9" t="str">
        <f>IF('Key Inputs'!E78="","",'Key Inputs'!E78)</f>
        <v>SRVELC</v>
      </c>
      <c r="AA10" s="9" t="str">
        <f>_xlfn.XLOOKUP(V10,Legend!$A$21:$A$22,Legend!$C$21:$C$22)</f>
        <v>CS</v>
      </c>
      <c r="AB10" s="9" t="str">
        <f>_xlfn.XLOOKUP(W10,Legend!$A$24:$A$34,Legend!$C$24:$C$34)</f>
        <v>CK</v>
      </c>
      <c r="AC10" s="16">
        <f t="shared" si="2"/>
        <v>2.9228774345991719</v>
      </c>
      <c r="AD10" s="16">
        <f t="shared" si="3"/>
        <v>1.9804888261555491</v>
      </c>
    </row>
    <row r="11" spans="2:30" s="15" customFormat="1">
      <c r="B11" s="15" t="str">
        <f t="shared" si="11"/>
        <v>*Public Services Cooking</v>
      </c>
      <c r="D11" s="264"/>
      <c r="F11" s="43"/>
      <c r="G11" s="43"/>
      <c r="H11" s="265"/>
      <c r="I11" s="266"/>
      <c r="J11" s="75"/>
      <c r="L11" s="15" t="str">
        <f t="shared" si="13"/>
        <v>*Public Services Cooking</v>
      </c>
      <c r="M11" s="168"/>
      <c r="P11" s="9"/>
      <c r="V11" s="15" t="str">
        <f>IF('Key Inputs'!A79="","",'Key Inputs'!A79)</f>
        <v>Commercial Services</v>
      </c>
      <c r="W11" s="15" t="str">
        <f>IF('Key Inputs'!B79="","",'Key Inputs'!B79)</f>
        <v>Cooking</v>
      </c>
      <c r="X11" s="15" t="str">
        <f>IF('Key Inputs'!C79="","",'Key Inputs'!C79)</f>
        <v>All fuels</v>
      </c>
      <c r="Y11" s="15" t="str">
        <f>IF('Key Inputs'!D79="","",'Key Inputs'!D79)</f>
        <v/>
      </c>
      <c r="Z11" s="15" t="str">
        <f>IF('Key Inputs'!E79="","",'Key Inputs'!E79)</f>
        <v/>
      </c>
      <c r="AA11" s="15" t="str">
        <f>_xlfn.XLOOKUP(V11,Legend!$A$21:$A$22,Legend!$C$21:$C$22)</f>
        <v>CS</v>
      </c>
      <c r="AB11" s="15" t="str">
        <f>_xlfn.XLOOKUP(W11,Legend!$A$24:$A$34,Legend!$C$24:$C$34)</f>
        <v>CK</v>
      </c>
      <c r="AC11" s="16" t="str">
        <f t="shared" si="2"/>
        <v/>
      </c>
      <c r="AD11" s="16" t="str">
        <f t="shared" si="3"/>
        <v/>
      </c>
    </row>
    <row r="12" spans="2:30">
      <c r="B12" s="27" t="str">
        <f t="shared" si="11"/>
        <v>S-CK-PU_LPG_X0</v>
      </c>
      <c r="C12" s="9" t="str">
        <f t="shared" si="12"/>
        <v>Public Services - Cooking: LPG</v>
      </c>
      <c r="D12" s="43" t="str">
        <f t="shared" si="6"/>
        <v>SRVLPG</v>
      </c>
      <c r="E12" s="9" t="str">
        <f>IF($Y12="","",CONCATENATE(Legend!$C$4,AB12,"-",AA12))</f>
        <v>SRVCK-PU</v>
      </c>
      <c r="F12" s="43">
        <f>IF($Y12="","",SUMIFS('Key Inputs'!$L$29:$L$114,'Key Inputs'!$A$29:$A$114,$V12,'Key Inputs'!$B$29:$B$114,$W12,'Key Inputs'!$C$29:$C$114,$X12))</f>
        <v>10.368091907926196</v>
      </c>
      <c r="G12" s="43">
        <f>IF($Y12="","",SUMIFS('Key Inputs'!$G$29:$G$114,'Key Inputs'!$A$29:$A$114,$V12,'Key Inputs'!$B$29:$B$114,$W12,'Key Inputs'!$C$29:$C$114,$X12))</f>
        <v>0.48571820894923945</v>
      </c>
      <c r="H12" s="255">
        <f>IF($Y12="","",SUMIFS('Key Inputs'!$I$29:$I$114,'Key Inputs'!$A$29:$A$114,$V12,'Key Inputs'!$B$29:$B$114,$W12,'Key Inputs'!$C$29:$C$114,$X12)/8760)*1.01</f>
        <v>9.223744292237443E-2</v>
      </c>
      <c r="I12" s="257">
        <f>IF($Y12="","",SUMIFS('Key Inputs'!$H$29:$H$114,'Key Inputs'!$A$29:$A$114,$V12,'Key Inputs'!$B$29:$B$114,$W12,'Key Inputs'!$C$29:$C$114,$X12))</f>
        <v>15</v>
      </c>
      <c r="J12" s="51">
        <f>IF($Y12="","",SUMIFS('Key Inputs'!$J$29:$J$114,'Key Inputs'!$A$29:$A$114,$V12,'Key Inputs'!$B$29:$B$114,$W12,'Key Inputs'!$C$29:$C$114,$X12)/1000*31.536)</f>
        <v>0.47304000000000002</v>
      </c>
      <c r="L12" s="27" t="str">
        <f t="shared" si="13"/>
        <v>PRE</v>
      </c>
      <c r="M12" s="27" t="str">
        <f>IF($AB12="","",_xlfn.TEXTJOIN(",",TRUE,IF(LEFT(Regions!$C$3,1)&lt;&gt;"*",Regions!$C$3,""),IF(LEFT(Regions!$D$3,1)&lt;&gt;"*",Regions!$D$3,"")))</f>
        <v>IE,National</v>
      </c>
      <c r="N12" s="9" t="str">
        <f>IF($Y12="","",CONCATENATE(LEFT(Legend!$C$4),"-",$AB12,"-",$AA12,"_",$Y12,"_X0"))</f>
        <v>S-CK-PU_LPG_X0</v>
      </c>
      <c r="O12" s="9" t="str">
        <f t="shared" si="8"/>
        <v>Public Services - Cooking: LPG</v>
      </c>
      <c r="P12" s="9" t="str">
        <f t="shared" si="14"/>
        <v>PJ</v>
      </c>
      <c r="Q12" s="9" t="str">
        <f t="shared" si="9"/>
        <v>kunits</v>
      </c>
      <c r="R12" s="9" t="str">
        <f t="shared" si="10"/>
        <v>ANNUAL</v>
      </c>
      <c r="V12" s="9" t="str">
        <f>IF('Key Inputs'!A80="","",'Key Inputs'!A80)</f>
        <v>Public Services</v>
      </c>
      <c r="W12" s="9" t="str">
        <f>IF('Key Inputs'!B80="","",'Key Inputs'!B80)</f>
        <v>Cooking</v>
      </c>
      <c r="X12" s="9" t="str">
        <f>IF('Key Inputs'!C80="","",'Key Inputs'!C80)</f>
        <v>LPG</v>
      </c>
      <c r="Y12" s="9" t="str">
        <f>IF('Key Inputs'!D80="","",'Key Inputs'!D80)</f>
        <v>LPG</v>
      </c>
      <c r="Z12" s="9" t="str">
        <f>IF('Key Inputs'!E80="","",'Key Inputs'!E80)</f>
        <v>SRVLPG</v>
      </c>
      <c r="AA12" s="9" t="str">
        <f>_xlfn.XLOOKUP(V12,Legend!$A$21:$A$22,Legend!$C$21:$C$22)</f>
        <v>PU</v>
      </c>
      <c r="AB12" s="9" t="str">
        <f>_xlfn.XLOOKUP(W12,Legend!$A$24:$A$34,Legend!$C$24:$C$34)</f>
        <v>CK</v>
      </c>
      <c r="AC12" s="16">
        <f t="shared" si="2"/>
        <v>0.93136427210599471</v>
      </c>
      <c r="AD12" s="16">
        <f t="shared" si="3"/>
        <v>0.45238058612663584</v>
      </c>
    </row>
    <row r="13" spans="2:30">
      <c r="B13" s="27" t="str">
        <f t="shared" si="11"/>
        <v>S-CK-PU_GAS_X0</v>
      </c>
      <c r="C13" s="9" t="str">
        <f t="shared" si="12"/>
        <v>Public Services - Cooking: Natural Gas</v>
      </c>
      <c r="D13" s="43" t="str">
        <f t="shared" si="6"/>
        <v>SRVGAS</v>
      </c>
      <c r="E13" s="9" t="str">
        <f>IF($Y13="","",CONCATENATE(Legend!$C$4,AB13,"-",AA13))</f>
        <v>SRVCK-PU</v>
      </c>
      <c r="F13" s="43">
        <f>IF($Y13="","",SUMIFS('Key Inputs'!$L$29:$L$114,'Key Inputs'!$A$29:$A$114,$V13,'Key Inputs'!$B$29:$B$114,$W13,'Key Inputs'!$C$29:$C$114,$X13))</f>
        <v>16.177292599927927</v>
      </c>
      <c r="G13" s="43">
        <f>IF($Y13="","",SUMIFS('Key Inputs'!$G$29:$G$114,'Key Inputs'!$A$29:$A$114,$V13,'Key Inputs'!$B$29:$B$114,$W13,'Key Inputs'!$C$29:$C$114,$X13))</f>
        <v>0.5299882794392895</v>
      </c>
      <c r="H13" s="255">
        <f>IF($Y13="","",SUMIFS('Key Inputs'!$I$29:$I$114,'Key Inputs'!$A$29:$A$114,$V13,'Key Inputs'!$B$29:$B$114,$W13,'Key Inputs'!$C$29:$C$114,$X13)/8760)</f>
        <v>9.1324200913242004E-2</v>
      </c>
      <c r="I13" s="257">
        <f>IF($Y13="","",SUMIFS('Key Inputs'!$H$29:$H$114,'Key Inputs'!$A$29:$A$114,$V13,'Key Inputs'!$B$29:$B$114,$W13,'Key Inputs'!$C$29:$C$114,$X13))</f>
        <v>15</v>
      </c>
      <c r="J13" s="51">
        <f>IF($Y13="","",SUMIFS('Key Inputs'!$J$29:$J$114,'Key Inputs'!$A$29:$A$114,$V13,'Key Inputs'!$B$29:$B$114,$W13,'Key Inputs'!$C$29:$C$114,$X13)/1000*31.536)</f>
        <v>0.47304000000000002</v>
      </c>
      <c r="L13" s="27" t="str">
        <f t="shared" si="13"/>
        <v>PRE</v>
      </c>
      <c r="M13" s="27" t="str">
        <f>IF($AB13="","",_xlfn.TEXTJOIN(",",TRUE,IF(LEFT(Regions!$C$3,1)&lt;&gt;"*",Regions!$C$3,""),IF(LEFT(Regions!$D$3,1)&lt;&gt;"*",Regions!$D$3,"")))</f>
        <v>IE,National</v>
      </c>
      <c r="N13" s="9" t="str">
        <f>IF($Y13="","",CONCATENATE(LEFT(Legend!$C$4),"-",$AB13,"-",$AA13,"_",$Y13,"_X0"))</f>
        <v>S-CK-PU_GAS_X0</v>
      </c>
      <c r="O13" s="9" t="str">
        <f t="shared" si="8"/>
        <v>Public Services - Cooking: Natural Gas</v>
      </c>
      <c r="P13" s="9" t="str">
        <f t="shared" si="14"/>
        <v>PJ</v>
      </c>
      <c r="Q13" s="9" t="str">
        <f t="shared" si="9"/>
        <v>kunits</v>
      </c>
      <c r="R13" s="9" t="str">
        <f t="shared" si="10"/>
        <v>ANNUAL</v>
      </c>
      <c r="V13" s="9" t="str">
        <f>IF('Key Inputs'!A81="","",'Key Inputs'!A81)</f>
        <v>Public Services</v>
      </c>
      <c r="W13" s="9" t="str">
        <f>IF('Key Inputs'!B81="","",'Key Inputs'!B81)</f>
        <v>Cooking</v>
      </c>
      <c r="X13" s="9" t="str">
        <f>IF('Key Inputs'!C81="","",'Key Inputs'!C81)</f>
        <v>Natural Gas</v>
      </c>
      <c r="Y13" s="9" t="str">
        <f>IF('Key Inputs'!D81="","",'Key Inputs'!D81)</f>
        <v>GAS</v>
      </c>
      <c r="Z13" s="9" t="str">
        <f>IF('Key Inputs'!E81="","",'Key Inputs'!E81)</f>
        <v>SRVGAS</v>
      </c>
      <c r="AA13" s="9" t="str">
        <f>_xlfn.XLOOKUP(V13,Legend!$A$21:$A$22,Legend!$C$21:$C$22)</f>
        <v>PU</v>
      </c>
      <c r="AB13" s="9" t="str">
        <f>_xlfn.XLOOKUP(W13,Legend!$A$24:$A$34,Legend!$C$24:$C$34)</f>
        <v>CK</v>
      </c>
      <c r="AC13" s="16">
        <f t="shared" si="2"/>
        <v>1.3186311234207988</v>
      </c>
      <c r="AD13" s="16">
        <f t="shared" si="3"/>
        <v>0.6988590403168865</v>
      </c>
    </row>
    <row r="14" spans="2:30">
      <c r="B14" s="27" t="str">
        <f t="shared" si="11"/>
        <v>S-CK-PU_BIO_X0</v>
      </c>
      <c r="C14" s="9" t="str">
        <f t="shared" si="12"/>
        <v>Public Services - Cooking: Biomass</v>
      </c>
      <c r="D14" s="43" t="str">
        <f t="shared" si="6"/>
        <v>SRVBIO</v>
      </c>
      <c r="E14" s="9" t="str">
        <f>IF($Y14="","",CONCATENATE(Legend!$C$4,AB14,"-",AA14))</f>
        <v>SRVCK-PU</v>
      </c>
      <c r="F14" s="43">
        <f>IF($Y14="","",SUMIFS('Key Inputs'!$L$29:$L$114,'Key Inputs'!$A$29:$A$114,$V14,'Key Inputs'!$B$29:$B$114,$W14,'Key Inputs'!$C$29:$C$114,$X14))</f>
        <v>0</v>
      </c>
      <c r="G14" s="43">
        <f>IF($Y14="","",SUMIFS('Key Inputs'!$G$29:$G$114,'Key Inputs'!$A$29:$A$114,$V14,'Key Inputs'!$B$29:$B$114,$W14,'Key Inputs'!$C$29:$C$114,$X14))</f>
        <v>0.33</v>
      </c>
      <c r="H14" s="255">
        <f>IF($Y14="","",SUMIFS('Key Inputs'!$I$29:$I$114,'Key Inputs'!$A$29:$A$114,$V14,'Key Inputs'!$B$29:$B$114,$W14,'Key Inputs'!$C$29:$C$114,$X14)/8760)</f>
        <v>9.1324200913242004E-2</v>
      </c>
      <c r="I14" s="257">
        <f>IF($Y14="","",SUMIFS('Key Inputs'!$H$29:$H$114,'Key Inputs'!$A$29:$A$114,$V14,'Key Inputs'!$B$29:$B$114,$W14,'Key Inputs'!$C$29:$C$114,$X14))</f>
        <v>15</v>
      </c>
      <c r="J14" s="51">
        <f>IF($Y14="","",SUMIFS('Key Inputs'!$J$29:$J$114,'Key Inputs'!$A$29:$A$114,$V14,'Key Inputs'!$B$29:$B$114,$W14,'Key Inputs'!$C$29:$C$114,$X14)/1000*31.536)</f>
        <v>0.47304000000000002</v>
      </c>
      <c r="L14" s="27" t="str">
        <f t="shared" si="13"/>
        <v>PRE</v>
      </c>
      <c r="M14" s="27" t="str">
        <f>IF($AB14="","",_xlfn.TEXTJOIN(",",TRUE,IF(LEFT(Regions!$C$3,1)&lt;&gt;"*",Regions!$C$3,""),IF(LEFT(Regions!$D$3,1)&lt;&gt;"*",Regions!$D$3,"")))</f>
        <v>IE,National</v>
      </c>
      <c r="N14" s="9" t="str">
        <f>IF($Y14="","",CONCATENATE(LEFT(Legend!$C$4),"-",$AB14,"-",$AA14,"_",$Y14,"_X0"))</f>
        <v>S-CK-PU_BIO_X0</v>
      </c>
      <c r="O14" s="9" t="str">
        <f t="shared" si="8"/>
        <v>Public Services - Cooking: Biomass</v>
      </c>
      <c r="P14" s="9" t="str">
        <f t="shared" si="14"/>
        <v>PJ</v>
      </c>
      <c r="Q14" s="9" t="str">
        <f t="shared" si="9"/>
        <v>kunits</v>
      </c>
      <c r="R14" s="9" t="str">
        <f t="shared" si="10"/>
        <v>ANNUAL</v>
      </c>
      <c r="V14" s="9" t="str">
        <f>IF('Key Inputs'!A82="","",'Key Inputs'!A82)</f>
        <v>Public Services</v>
      </c>
      <c r="W14" s="9" t="str">
        <f>IF('Key Inputs'!B82="","",'Key Inputs'!B82)</f>
        <v>Cooking</v>
      </c>
      <c r="X14" s="9" t="str">
        <f>IF('Key Inputs'!C82="","",'Key Inputs'!C82)</f>
        <v>Biomass</v>
      </c>
      <c r="Y14" s="9" t="str">
        <f>IF('Key Inputs'!D82="","",'Key Inputs'!D82)</f>
        <v>BIO</v>
      </c>
      <c r="Z14" s="9" t="str">
        <f>IF('Key Inputs'!E82="","",'Key Inputs'!E82)</f>
        <v>SRVBIO</v>
      </c>
      <c r="AA14" s="9" t="str">
        <f>_xlfn.XLOOKUP(V14,Legend!$A$21:$A$22,Legend!$C$21:$C$22)</f>
        <v>PU</v>
      </c>
      <c r="AB14" s="9" t="str">
        <f>_xlfn.XLOOKUP(W14,Legend!$A$24:$A$34,Legend!$C$24:$C$34)</f>
        <v>CK</v>
      </c>
      <c r="AC14" s="16">
        <f t="shared" si="2"/>
        <v>0</v>
      </c>
      <c r="AD14" s="16">
        <f t="shared" si="3"/>
        <v>0</v>
      </c>
    </row>
    <row r="15" spans="2:30">
      <c r="B15" s="34" t="str">
        <f t="shared" si="11"/>
        <v>S-CK-PU_ELC_X0</v>
      </c>
      <c r="C15" s="14" t="str">
        <f t="shared" si="12"/>
        <v>Public Services - Cooking: Electricity</v>
      </c>
      <c r="D15" s="77" t="str">
        <f t="shared" si="6"/>
        <v>SRVELC</v>
      </c>
      <c r="E15" s="14" t="str">
        <f>IF($Y15="","",CONCATENATE(Legend!$C$4,AB15,"-",AA15))</f>
        <v>SRVCK-PU</v>
      </c>
      <c r="F15" s="77">
        <f>IF($Y15="","",SUMIFS('Key Inputs'!$L$29:$L$114,'Key Inputs'!$A$29:$A$114,$V15,'Key Inputs'!$B$29:$B$114,$W15,'Key Inputs'!$C$29:$C$114,$X15))</f>
        <v>13.153357175678927</v>
      </c>
      <c r="G15" s="77">
        <f>IF($Y15="","",SUMIFS('Key Inputs'!$G$29:$G$114,'Key Inputs'!$A$29:$A$114,$V15,'Key Inputs'!$B$29:$B$114,$W15,'Key Inputs'!$C$29:$C$114,$X15))</f>
        <v>0.67758189334652785</v>
      </c>
      <c r="H15" s="262">
        <f>IF($Y15="","",SUMIFS('Key Inputs'!$I$29:$I$114,'Key Inputs'!$A$29:$A$114,$V15,'Key Inputs'!$B$29:$B$114,$W15,'Key Inputs'!$C$29:$C$114,$X15)/8760)</f>
        <v>9.1324200913242004E-2</v>
      </c>
      <c r="I15" s="263">
        <f>IF($Y15="","",SUMIFS('Key Inputs'!$H$29:$H$114,'Key Inputs'!$A$29:$A$114,$V15,'Key Inputs'!$B$29:$B$114,$W15,'Key Inputs'!$C$29:$C$114,$X15))</f>
        <v>15</v>
      </c>
      <c r="J15" s="153">
        <f>IF($Y15="","",SUMIFS('Key Inputs'!$J$29:$J$114,'Key Inputs'!$A$29:$A$114,$V15,'Key Inputs'!$B$29:$B$114,$W15,'Key Inputs'!$C$29:$C$114,$X15)/1000*31.536)</f>
        <v>0.47304000000000002</v>
      </c>
      <c r="L15" s="34" t="str">
        <f t="shared" si="13"/>
        <v>PRE</v>
      </c>
      <c r="M15" s="34" t="str">
        <f>IF($AB15="","",_xlfn.TEXTJOIN(",",TRUE,IF(LEFT(Regions!$C$3,1)&lt;&gt;"*",Regions!$C$3,""),IF(LEFT(Regions!$D$3,1)&lt;&gt;"*",Regions!$D$3,"")))</f>
        <v>IE,National</v>
      </c>
      <c r="N15" s="14" t="str">
        <f>IF($Y15="","",CONCATENATE(LEFT(Legend!$C$4),"-",$AB15,"-",$AA15,"_",$Y15,"_X0"))</f>
        <v>S-CK-PU_ELC_X0</v>
      </c>
      <c r="O15" s="14" t="str">
        <f t="shared" si="8"/>
        <v>Public Services - Cooking: Electricity</v>
      </c>
      <c r="P15" s="14" t="str">
        <f t="shared" si="14"/>
        <v>PJ</v>
      </c>
      <c r="Q15" s="14" t="str">
        <f t="shared" si="9"/>
        <v>kunits</v>
      </c>
      <c r="R15" s="14" t="str">
        <f t="shared" si="10"/>
        <v>ANNUAL</v>
      </c>
      <c r="S15" s="14"/>
      <c r="T15" s="14"/>
      <c r="V15" s="9" t="str">
        <f>IF('Key Inputs'!A83="","",'Key Inputs'!A83)</f>
        <v>Public Services</v>
      </c>
      <c r="W15" s="9" t="str">
        <f>IF('Key Inputs'!B83="","",'Key Inputs'!B83)</f>
        <v>Cooking</v>
      </c>
      <c r="X15" s="9" t="str">
        <f>IF('Key Inputs'!C83="","",'Key Inputs'!C83)</f>
        <v>Electricity</v>
      </c>
      <c r="Y15" s="9" t="str">
        <f>IF('Key Inputs'!D83="","",'Key Inputs'!D83)</f>
        <v>ELC</v>
      </c>
      <c r="Z15" s="9" t="str">
        <f>IF('Key Inputs'!E83="","",'Key Inputs'!E83)</f>
        <v>SRVELC</v>
      </c>
      <c r="AA15" s="9" t="str">
        <f>_xlfn.XLOOKUP(V15,Legend!$A$21:$A$22,Legend!$C$21:$C$22)</f>
        <v>PU</v>
      </c>
      <c r="AB15" s="9" t="str">
        <f>_xlfn.XLOOKUP(W15,Legend!$A$24:$A$34,Legend!$C$24:$C$34)</f>
        <v>CK</v>
      </c>
      <c r="AC15" s="16">
        <f t="shared" si="2"/>
        <v>0.83860716404759184</v>
      </c>
      <c r="AD15" s="16">
        <f t="shared" si="3"/>
        <v>0.56822502998932956</v>
      </c>
    </row>
    <row r="16" spans="2:30">
      <c r="B16" s="27"/>
      <c r="D16" s="43"/>
      <c r="F16" s="43"/>
      <c r="G16" s="255"/>
      <c r="H16" s="255"/>
      <c r="I16" s="257"/>
      <c r="J16" s="51"/>
      <c r="L16" s="27"/>
      <c r="M16" s="27"/>
    </row>
    <row r="17" spans="2:30">
      <c r="B17" s="27"/>
      <c r="D17" s="43"/>
      <c r="E17" s="15" t="s">
        <v>510</v>
      </c>
      <c r="F17" s="264">
        <f>SUM(F7:F15)</f>
        <v>134.19873968489495</v>
      </c>
      <c r="G17" s="255"/>
      <c r="H17" s="255"/>
      <c r="I17" s="257"/>
      <c r="J17" s="51"/>
      <c r="L17" s="27"/>
      <c r="M17" s="27"/>
      <c r="V17" s="9" t="str">
        <f>IF('Key Inputs'!A85="","",'Key Inputs'!A85)</f>
        <v/>
      </c>
      <c r="AC17" s="165">
        <f>SUM(AC7:AC15)</f>
        <v>10.151598266389112</v>
      </c>
      <c r="AD17" s="165">
        <f>SUM(AD7:AD15)</f>
        <v>5.8109090173767228</v>
      </c>
    </row>
    <row r="21" spans="2:30">
      <c r="H21" s="9">
        <f>+F12*H12*J12</f>
        <v>0.45238058612663584</v>
      </c>
      <c r="I21" s="9">
        <f>+H21/G12</f>
        <v>0.93136427210599471</v>
      </c>
    </row>
  </sheetData>
  <mergeCells count="7">
    <mergeCell ref="AB3:AB4"/>
    <mergeCell ref="V3:V4"/>
    <mergeCell ref="W3:W4"/>
    <mergeCell ref="X3:X4"/>
    <mergeCell ref="Y3:Y4"/>
    <mergeCell ref="Z3:Z4"/>
    <mergeCell ref="AA3:AA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8CDC-FF6A-47A2-AFA2-7345D972A68A}">
  <sheetPr codeName="Sheet10">
    <tabColor theme="9" tint="0.59999389629810485"/>
  </sheetPr>
  <dimension ref="B1:AD13"/>
  <sheetViews>
    <sheetView zoomScale="80" zoomScaleNormal="80" workbookViewId="0">
      <selection activeCell="B2" sqref="B2"/>
    </sheetView>
  </sheetViews>
  <sheetFormatPr defaultColWidth="8.81640625" defaultRowHeight="14.5"/>
  <cols>
    <col min="1" max="1" width="2.26953125" style="9" customWidth="1"/>
    <col min="2" max="2" width="22" style="9" customWidth="1"/>
    <col min="3" max="3" width="51.54296875" style="9" bestFit="1" customWidth="1"/>
    <col min="4" max="4" width="17.26953125" style="9" bestFit="1" customWidth="1"/>
    <col min="5" max="5" width="16.26953125" style="9" customWidth="1"/>
    <col min="6" max="10" width="13" style="9" customWidth="1"/>
    <col min="11" max="11" width="4.81640625" style="9" customWidth="1"/>
    <col min="12" max="13" width="12.453125" style="9" customWidth="1"/>
    <col min="14" max="14" width="17.1796875" style="9" bestFit="1" customWidth="1"/>
    <col min="15" max="15" width="51.54296875" style="9" bestFit="1" customWidth="1"/>
    <col min="16" max="20" width="10.81640625" style="9" customWidth="1"/>
    <col min="21" max="21" width="4.81640625" style="9" customWidth="1"/>
    <col min="22" max="22" width="21.453125" style="9" bestFit="1" customWidth="1"/>
    <col min="23" max="23" width="18.1796875" style="9" bestFit="1" customWidth="1"/>
    <col min="24" max="24" width="12.81640625" style="9" bestFit="1" customWidth="1"/>
    <col min="25" max="25" width="10.1796875" style="9" bestFit="1" customWidth="1"/>
    <col min="26" max="26" width="9.54296875" style="9" bestFit="1" customWidth="1"/>
    <col min="27" max="27" width="11.26953125" style="9" bestFit="1" customWidth="1"/>
    <col min="28" max="28" width="14.26953125" style="9" bestFit="1" customWidth="1"/>
    <col min="29" max="30" width="16.7265625" style="9" customWidth="1"/>
    <col min="31" max="31" width="4.81640625" style="9" customWidth="1"/>
    <col min="32" max="32" width="8.81640625" style="9"/>
    <col min="33" max="34" width="19.26953125" style="9" customWidth="1"/>
    <col min="35" max="48" width="8.81640625" style="9"/>
    <col min="49" max="49" width="12.26953125" style="9" bestFit="1" customWidth="1"/>
    <col min="50" max="16384" width="8.81640625" style="9"/>
  </cols>
  <sheetData>
    <row r="1" spans="2:30" ht="23.5">
      <c r="B1" s="20" t="s">
        <v>91</v>
      </c>
      <c r="C1" s="20"/>
    </row>
    <row r="2" spans="2:30">
      <c r="B2" s="40" t="s">
        <v>86</v>
      </c>
      <c r="L2" s="35" t="s">
        <v>13</v>
      </c>
      <c r="M2" s="35"/>
      <c r="N2" s="36"/>
      <c r="O2" s="36"/>
      <c r="P2" s="36"/>
      <c r="Q2" s="36"/>
      <c r="R2" s="36"/>
      <c r="S2" s="36"/>
      <c r="T2" s="36"/>
      <c r="AD2" s="14"/>
    </row>
    <row r="3" spans="2:30" ht="15" thickBot="1">
      <c r="B3" s="21" t="s">
        <v>4</v>
      </c>
      <c r="C3" s="41" t="s">
        <v>123</v>
      </c>
      <c r="D3" s="21" t="s">
        <v>22</v>
      </c>
      <c r="E3" s="21" t="s">
        <v>23</v>
      </c>
      <c r="F3" s="21" t="s">
        <v>111</v>
      </c>
      <c r="G3" s="21" t="s">
        <v>87</v>
      </c>
      <c r="H3" s="21" t="s">
        <v>142</v>
      </c>
      <c r="I3" s="21" t="s">
        <v>29</v>
      </c>
      <c r="J3" s="21" t="s">
        <v>124</v>
      </c>
      <c r="L3" s="21" t="s">
        <v>14</v>
      </c>
      <c r="M3" s="21" t="s">
        <v>520</v>
      </c>
      <c r="N3" s="21" t="s">
        <v>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V3" s="609" t="s">
        <v>378</v>
      </c>
      <c r="W3" s="609" t="s">
        <v>160</v>
      </c>
      <c r="X3" s="609" t="s">
        <v>81</v>
      </c>
      <c r="Y3" s="609" t="s">
        <v>498</v>
      </c>
      <c r="Z3" s="609" t="s">
        <v>499</v>
      </c>
      <c r="AA3" s="609" t="s">
        <v>500</v>
      </c>
      <c r="AB3" s="609" t="s">
        <v>501</v>
      </c>
      <c r="AC3" s="49" t="s">
        <v>77</v>
      </c>
      <c r="AD3" s="135"/>
    </row>
    <row r="4" spans="2:30" ht="52.5" thickBot="1">
      <c r="B4" s="39" t="s">
        <v>125</v>
      </c>
      <c r="C4" s="39" t="s">
        <v>89</v>
      </c>
      <c r="D4" s="39" t="s">
        <v>126</v>
      </c>
      <c r="E4" s="39" t="s">
        <v>127</v>
      </c>
      <c r="F4" s="39" t="s">
        <v>143</v>
      </c>
      <c r="G4" s="39" t="s">
        <v>129</v>
      </c>
      <c r="H4" s="39" t="s">
        <v>128</v>
      </c>
      <c r="I4" s="39" t="s">
        <v>136</v>
      </c>
      <c r="J4" s="39" t="s">
        <v>130</v>
      </c>
      <c r="L4" s="37" t="s">
        <v>115</v>
      </c>
      <c r="M4" s="37" t="s">
        <v>534</v>
      </c>
      <c r="N4" s="37" t="s">
        <v>116</v>
      </c>
      <c r="O4" s="37" t="s">
        <v>89</v>
      </c>
      <c r="P4" s="37" t="s">
        <v>117</v>
      </c>
      <c r="Q4" s="37" t="s">
        <v>118</v>
      </c>
      <c r="R4" s="37" t="s">
        <v>119</v>
      </c>
      <c r="S4" s="39" t="s">
        <v>120</v>
      </c>
      <c r="T4" s="39" t="s">
        <v>121</v>
      </c>
      <c r="V4" s="610"/>
      <c r="W4" s="610"/>
      <c r="X4" s="610"/>
      <c r="Y4" s="610"/>
      <c r="Z4" s="610"/>
      <c r="AA4" s="610"/>
      <c r="AB4" s="610"/>
      <c r="AC4" s="13" t="s">
        <v>146</v>
      </c>
      <c r="AD4" s="56" t="s">
        <v>502</v>
      </c>
    </row>
    <row r="5" spans="2:30" ht="26">
      <c r="B5" s="42" t="s">
        <v>131</v>
      </c>
      <c r="C5" s="42"/>
      <c r="D5" s="42"/>
      <c r="E5" s="42"/>
      <c r="F5" s="42" t="s">
        <v>509</v>
      </c>
      <c r="G5" s="270" t="s">
        <v>508</v>
      </c>
      <c r="H5" s="42" t="s">
        <v>132</v>
      </c>
      <c r="I5" s="42" t="s">
        <v>138</v>
      </c>
      <c r="J5" s="42" t="s">
        <v>587</v>
      </c>
      <c r="L5" s="270" t="s">
        <v>496</v>
      </c>
      <c r="M5" s="42"/>
      <c r="N5" s="271"/>
      <c r="O5" s="271"/>
      <c r="P5" s="271"/>
      <c r="Q5" s="271"/>
      <c r="R5" s="271"/>
      <c r="S5" s="271"/>
      <c r="T5" s="271"/>
      <c r="V5" s="17"/>
      <c r="W5" s="17"/>
      <c r="X5" s="17"/>
      <c r="Y5" s="17"/>
      <c r="Z5" s="17"/>
      <c r="AA5" s="17"/>
      <c r="AB5" s="17"/>
      <c r="AC5" s="57" t="s">
        <v>46</v>
      </c>
      <c r="AD5" s="57" t="s">
        <v>509</v>
      </c>
    </row>
    <row r="6" spans="2:30">
      <c r="B6" s="27" t="str">
        <f t="shared" ref="B6" si="0">IF($Y6="",L6,N6)</f>
        <v>S-LIG-CS_ELC_X0</v>
      </c>
      <c r="C6" s="9" t="str">
        <f t="shared" ref="C6" si="1">IF($Y6="","",O6)</f>
        <v>Commercial Services - Building lighting: Electricity</v>
      </c>
      <c r="D6" s="43" t="str">
        <f t="shared" ref="D6:D11" si="2">IF($Y6="","",Z6)</f>
        <v>SRVELC</v>
      </c>
      <c r="E6" s="9" t="str">
        <f>IF($Y6="","",CONCATENATE(Legend!$C$4,AB6,"-",AA6))</f>
        <v>SRVLIG-CS</v>
      </c>
      <c r="F6" s="43">
        <f>IF($Y6="","",SUMIFS('Key Inputs'!$J$29:$J$114,'Key Inputs'!$A$29:$A$114,$V6,'Key Inputs'!$B$29:$B$114,$W6,'Key Inputs'!$C$29:$C$114,$X6))</f>
        <v>18.962690718520737</v>
      </c>
      <c r="G6" s="43">
        <f>IF($Y6="","",SUMIFS('Key Inputs'!$G$29:$G$114,'Key Inputs'!$A$29:$A$114,$V6,'Key Inputs'!$B$29:$B$114,$W6,'Key Inputs'!$C$29:$C$114,$X6))</f>
        <v>2.4973571887487438</v>
      </c>
      <c r="H6" s="257">
        <f>IF($Y6="","",1)</f>
        <v>1</v>
      </c>
      <c r="I6" s="53">
        <f>IF($Y6="","",SUMIFS('Key Inputs'!$H$29:$H$114,'Key Inputs'!$A$29:$A$114,$V6,'Key Inputs'!$B$29:$B$114,$W6,'Key Inputs'!$C$29:$C$114,$X6))</f>
        <v>10</v>
      </c>
      <c r="J6" s="53">
        <f>IF($Y6="","",1)</f>
        <v>1</v>
      </c>
      <c r="L6" s="27" t="str">
        <f t="shared" ref="L6" si="3">IF($Y6="","*"&amp;V7&amp;" "&amp;W7,"PRE")</f>
        <v>PRE</v>
      </c>
      <c r="M6" s="36" t="str">
        <f>IF($AB6="","",_xlfn.TEXTJOIN(",",TRUE,IF(LEFT(Regions!$C$3,1)&lt;&gt;"*",Regions!$C$3,""),IF(LEFT(Regions!$D$3,1)&lt;&gt;"*",Regions!$D$3,"")))</f>
        <v>IE,National</v>
      </c>
      <c r="N6" s="9" t="str">
        <f>IF($Y6="","",CONCATENATE(LEFT(Legend!$C$4),"-",$AB6,"-",$AA6,"_",$Y6,"_X0"))</f>
        <v>S-LIG-CS_ELC_X0</v>
      </c>
      <c r="O6" s="9" t="str">
        <f t="shared" ref="O6:O11" si="4">IF($Y6="","",CONCATENATE(V6," - ",W6,": ",X6))</f>
        <v>Commercial Services - Building lighting: Electricity</v>
      </c>
      <c r="P6" s="9" t="str">
        <f>IF($Y6="","","Munits")</f>
        <v>Munits</v>
      </c>
      <c r="Q6" s="9" t="str">
        <f>IF($Y6="","","Munits")</f>
        <v>Munits</v>
      </c>
      <c r="R6" s="9" t="str">
        <f t="shared" ref="R6:R11" si="5">IF($Y6="","","ANNUAL")</f>
        <v>ANNUAL</v>
      </c>
      <c r="V6" s="9" t="str">
        <f>IF('Key Inputs'!A91="","",'Key Inputs'!A91)</f>
        <v>Commercial Services</v>
      </c>
      <c r="W6" s="9" t="str">
        <f>IF('Key Inputs'!B91="","",'Key Inputs'!B91)</f>
        <v>Building lighting</v>
      </c>
      <c r="X6" s="9" t="str">
        <f>IF('Key Inputs'!C91="","",'Key Inputs'!C91)</f>
        <v>Electricity</v>
      </c>
      <c r="Y6" s="9" t="str">
        <f>IF('Key Inputs'!D91="","",'Key Inputs'!D91)</f>
        <v>ELC</v>
      </c>
      <c r="Z6" s="9" t="str">
        <f>IF('Key Inputs'!E91="","",'Key Inputs'!E91)</f>
        <v>SRVELC</v>
      </c>
      <c r="AA6" s="9" t="str">
        <f>_xlfn.XLOOKUP(V6,Legend!$A$21:$A$22,Legend!$C$21:$C$22)</f>
        <v>CS</v>
      </c>
      <c r="AB6" s="9" t="str">
        <f>_xlfn.XLOOKUP(W6,Legend!$A$24:$A$34,Legend!$C$24:$C$34)</f>
        <v>LIG</v>
      </c>
      <c r="AC6" s="16">
        <f t="shared" ref="AC6:AC11" si="6">IF($Y6="","",AD6/G6)</f>
        <v>7.593103142775365</v>
      </c>
      <c r="AD6" s="16">
        <f t="shared" ref="AD6:AD11" si="7">IF($Y6="","",F6*H6*J6)</f>
        <v>18.962690718520737</v>
      </c>
    </row>
    <row r="7" spans="2:30">
      <c r="B7" s="27" t="str">
        <f>IF($Y7="",L7,N7)</f>
        <v>S-REF-CS_ELC_X0</v>
      </c>
      <c r="C7" s="9" t="str">
        <f>IF($Y7="","",O7)</f>
        <v>Commercial Services - Refrigeration: Electricity</v>
      </c>
      <c r="D7" s="43" t="str">
        <f t="shared" si="2"/>
        <v>SRVELC</v>
      </c>
      <c r="E7" s="9" t="str">
        <f>IF($Y7="","",CONCATENATE(Legend!$C$4,AB7,"-",AA7))</f>
        <v>SRVREF-CS</v>
      </c>
      <c r="F7" s="43">
        <f>IF($Y7="","",SUMIFS('Key Inputs'!$J$29:$J$114,'Key Inputs'!$A$29:$A$114,$V7,'Key Inputs'!$B$29:$B$114,$W7,'Key Inputs'!$C$29:$C$114,$X7))</f>
        <v>98.590578397640783</v>
      </c>
      <c r="G7" s="43">
        <f>IF($Y7="","",SUMIFS('Key Inputs'!$G$29:$G$114,'Key Inputs'!$A$29:$A$114,$V7,'Key Inputs'!$B$29:$B$114,$W7,'Key Inputs'!$C$29:$C$114,$X7))</f>
        <v>33.49155366492981</v>
      </c>
      <c r="H7" s="257">
        <f t="shared" ref="H7:H10" si="8">IF($Y7="","",1)</f>
        <v>1</v>
      </c>
      <c r="I7" s="257">
        <f>IF($Y7="","",SUMIFS('Key Inputs'!$H$29:$H$114,'Key Inputs'!$A$29:$A$114,$V7,'Key Inputs'!$B$29:$B$114,$W7,'Key Inputs'!$C$29:$C$114,$X7))</f>
        <v>10</v>
      </c>
      <c r="J7" s="53">
        <f t="shared" ref="J7:J10" si="9">IF($Y7="","",1)</f>
        <v>1</v>
      </c>
      <c r="L7" s="27" t="str">
        <f>IF($Y7="","*"&amp;V8&amp;" "&amp;W8,"PRE")</f>
        <v>PRE</v>
      </c>
      <c r="M7" s="36" t="str">
        <f>IF($AB7="","",_xlfn.TEXTJOIN(",",TRUE,IF(LEFT(Regions!$C$3,1)&lt;&gt;"*",Regions!$C$3,""),IF(LEFT(Regions!$D$3,1)&lt;&gt;"*",Regions!$D$3,"")))</f>
        <v>IE,National</v>
      </c>
      <c r="N7" s="9" t="str">
        <f>IF($Y7="","",CONCATENATE(LEFT(Legend!$C$4),"-",$AB7,"-",$AA7,"_",$Y7,"_X0"))</f>
        <v>S-REF-CS_ELC_X0</v>
      </c>
      <c r="O7" s="9" t="str">
        <f t="shared" si="4"/>
        <v>Commercial Services - Refrigeration: Electricity</v>
      </c>
      <c r="P7" s="9" t="str">
        <f t="shared" ref="P7:Q10" si="10">IF($Y7="","","kunits")</f>
        <v>kunits</v>
      </c>
      <c r="Q7" s="9" t="str">
        <f t="shared" si="10"/>
        <v>kunits</v>
      </c>
      <c r="R7" s="9" t="str">
        <f t="shared" si="5"/>
        <v>ANNUAL</v>
      </c>
      <c r="V7" s="9" t="str">
        <f>IF('Key Inputs'!A92="","",'Key Inputs'!A92)</f>
        <v>Commercial Services</v>
      </c>
      <c r="W7" s="9" t="str">
        <f>IF('Key Inputs'!B92="","",'Key Inputs'!B92)</f>
        <v>Refrigeration</v>
      </c>
      <c r="X7" s="9" t="str">
        <f>IF('Key Inputs'!C92="","",'Key Inputs'!C92)</f>
        <v>Electricity</v>
      </c>
      <c r="Y7" s="9" t="str">
        <f>IF('Key Inputs'!D92="","",'Key Inputs'!D92)</f>
        <v>ELC</v>
      </c>
      <c r="Z7" s="9" t="str">
        <f>IF('Key Inputs'!E92="","",'Key Inputs'!E92)</f>
        <v>SRVELC</v>
      </c>
      <c r="AA7" s="9" t="str">
        <f>_xlfn.XLOOKUP(V7,Legend!$A$21:$A$22,Legend!$C$21:$C$22)</f>
        <v>CS</v>
      </c>
      <c r="AB7" s="9" t="str">
        <f>_xlfn.XLOOKUP(W7,Legend!$A$24:$A$34,Legend!$C$24:$C$34)</f>
        <v>REF</v>
      </c>
      <c r="AC7" s="16">
        <f t="shared" si="6"/>
        <v>2.9437445447888688</v>
      </c>
      <c r="AD7" s="16">
        <f t="shared" si="7"/>
        <v>98.590578397640783</v>
      </c>
    </row>
    <row r="8" spans="2:30">
      <c r="B8" s="34" t="str">
        <f>IF($Y8="",L8,N8)</f>
        <v>S-OEL-CS_ELC_X0</v>
      </c>
      <c r="C8" s="14" t="str">
        <f>IF($Y8="","",O8)</f>
        <v>Commercial Services - Other appliances: Electricity</v>
      </c>
      <c r="D8" s="77" t="str">
        <f t="shared" si="2"/>
        <v>SRVELC</v>
      </c>
      <c r="E8" s="14" t="str">
        <f>IF($Y8="","",CONCATENATE(Legend!$C$4,AB8,"-",AA8))</f>
        <v>SRVOEL-CS</v>
      </c>
      <c r="F8" s="77">
        <f>IF($Y8="","",SUMIFS('Key Inputs'!$J$29:$J$114,'Key Inputs'!$A$29:$A$114,$V8,'Key Inputs'!$B$29:$B$114,$W8,'Key Inputs'!$C$29:$C$114,$X8))</f>
        <v>0.32030753361238051</v>
      </c>
      <c r="G8" s="77">
        <f>IF($Y8="","",SUMIFS('Key Inputs'!$G$29:$G$114,'Key Inputs'!$A$29:$A$114,$V8,'Key Inputs'!$B$29:$B$114,$W8,'Key Inputs'!$C$29:$C$114,$X8))</f>
        <v>1</v>
      </c>
      <c r="H8" s="263">
        <v>1</v>
      </c>
      <c r="I8" s="263">
        <f>IF($Y8="","",SUMIFS('Key Inputs'!$H$29:$H$114,'Key Inputs'!$A$29:$A$114,$V8,'Key Inputs'!$B$29:$B$114,$W8,'Key Inputs'!$C$29:$C$114,$X8))</f>
        <v>10</v>
      </c>
      <c r="J8" s="306">
        <v>31.536000000000001</v>
      </c>
      <c r="L8" s="34" t="str">
        <f>IF($Y8="","*"&amp;V9&amp;" "&amp;W9,"PRE")</f>
        <v>PRE</v>
      </c>
      <c r="M8" s="34" t="str">
        <f>IF($AB8="","",_xlfn.TEXTJOIN(",",TRUE,IF(LEFT(Regions!$C$3,1)&lt;&gt;"*",Regions!$C$3,""),IF(LEFT(Regions!$D$3,1)&lt;&gt;"*",Regions!$D$3,"")))</f>
        <v>IE,National</v>
      </c>
      <c r="N8" s="14" t="str">
        <f>IF($Y8="","",CONCATENATE(LEFT(Legend!$C$4),"-",$AB8,"-",$AA8,"_",$Y8,"_X0"))</f>
        <v>S-OEL-CS_ELC_X0</v>
      </c>
      <c r="O8" s="14" t="str">
        <f t="shared" si="4"/>
        <v>Commercial Services - Other appliances: Electricity</v>
      </c>
      <c r="P8" s="14" t="str">
        <f>IF($Y8="","","PJ")</f>
        <v>PJ</v>
      </c>
      <c r="Q8" s="14" t="s">
        <v>67</v>
      </c>
      <c r="R8" s="14" t="str">
        <f t="shared" si="5"/>
        <v>ANNUAL</v>
      </c>
      <c r="S8" s="14"/>
      <c r="T8" s="14"/>
      <c r="V8" s="9" t="str">
        <f>IF('Key Inputs'!A93="","",'Key Inputs'!A93)</f>
        <v>Commercial Services</v>
      </c>
      <c r="W8" s="9" t="str">
        <f>IF('Key Inputs'!B93="","",'Key Inputs'!B93)</f>
        <v>Other appliances</v>
      </c>
      <c r="X8" s="9" t="str">
        <f>IF('Key Inputs'!C93="","",'Key Inputs'!C93)</f>
        <v>Electricity</v>
      </c>
      <c r="Y8" s="9" t="str">
        <f>IF('Key Inputs'!D93="","",'Key Inputs'!D93)</f>
        <v>ELC</v>
      </c>
      <c r="Z8" s="9" t="str">
        <f>IF('Key Inputs'!E93="","",'Key Inputs'!E93)</f>
        <v>SRVELC</v>
      </c>
      <c r="AA8" s="9" t="str">
        <f>_xlfn.XLOOKUP(V8,Legend!$A$21:$A$22,Legend!$C$21:$C$22)</f>
        <v>CS</v>
      </c>
      <c r="AB8" s="9" t="str">
        <f>_xlfn.XLOOKUP(W8,Legend!$A$24:$A$34,Legend!$C$24:$C$34)</f>
        <v>OEL</v>
      </c>
      <c r="AC8" s="16">
        <f t="shared" si="6"/>
        <v>10.101218380000033</v>
      </c>
      <c r="AD8" s="16">
        <f t="shared" si="7"/>
        <v>10.101218380000033</v>
      </c>
    </row>
    <row r="9" spans="2:30">
      <c r="B9" s="27" t="str">
        <f>IF($Y9="",L9,N9)</f>
        <v>S-LIG-PU_ELC_X0</v>
      </c>
      <c r="C9" s="9" t="str">
        <f>IF($Y9="","",O9)</f>
        <v>Public Services - Building lighting: Electricity</v>
      </c>
      <c r="D9" s="43" t="str">
        <f t="shared" si="2"/>
        <v>SRVELC</v>
      </c>
      <c r="E9" s="9" t="str">
        <f>IF($Y9="","",CONCATENATE(Legend!$C$4,AB9,"-",AA9))</f>
        <v>SRVLIG-PU</v>
      </c>
      <c r="F9" s="43">
        <f>IF($Y9="","",SUMIFS('Key Inputs'!$J$29:$J$114,'Key Inputs'!$A$29:$A$114,$V9,'Key Inputs'!$B$29:$B$114,$W9,'Key Inputs'!$C$29:$C$114,$X9))</f>
        <v>9.424570836151025</v>
      </c>
      <c r="G9" s="43">
        <f>IF($Y9="","",SUMIFS('Key Inputs'!$G$29:$G$114,'Key Inputs'!$A$29:$A$114,$V9,'Key Inputs'!$B$29:$B$114,$W9,'Key Inputs'!$C$29:$C$114,$X9))</f>
        <v>4.326077744827904</v>
      </c>
      <c r="H9" s="257">
        <f t="shared" si="8"/>
        <v>1</v>
      </c>
      <c r="I9" s="261">
        <f>IF($Y9="","",SUMIFS('Key Inputs'!$H$29:$H$114,'Key Inputs'!$A$29:$A$114,$V9,'Key Inputs'!$B$29:$B$114,$W9,'Key Inputs'!$C$29:$C$114,$X9))</f>
        <v>10</v>
      </c>
      <c r="J9" s="53">
        <f t="shared" si="9"/>
        <v>1</v>
      </c>
      <c r="L9" s="27" t="str">
        <f>IF($Y9="","*"&amp;V10&amp;" "&amp;W10,"PRE")</f>
        <v>PRE</v>
      </c>
      <c r="M9" s="27" t="str">
        <f>IF($AB9="","",_xlfn.TEXTJOIN(",",TRUE,IF(LEFT(Regions!$C$3,1)&lt;&gt;"*",Regions!$C$3,""),IF(LEFT(Regions!$D$3,1)&lt;&gt;"*",Regions!$D$3,"")))</f>
        <v>IE,National</v>
      </c>
      <c r="N9" s="9" t="str">
        <f>IF($Y9="","",CONCATENATE(LEFT(Legend!$C$4),"-",$AB9,"-",$AA9,"_",$Y9,"_X0"))</f>
        <v>S-LIG-PU_ELC_X0</v>
      </c>
      <c r="O9" s="9" t="str">
        <f t="shared" si="4"/>
        <v>Public Services - Building lighting: Electricity</v>
      </c>
      <c r="P9" s="9" t="str">
        <f>IF($Y9="","","Munits")</f>
        <v>Munits</v>
      </c>
      <c r="Q9" s="9" t="str">
        <f>IF($Y9="","","Munits")</f>
        <v>Munits</v>
      </c>
      <c r="R9" s="9" t="str">
        <f t="shared" si="5"/>
        <v>ANNUAL</v>
      </c>
      <c r="V9" s="9" t="str">
        <f>IF('Key Inputs'!A94="","",'Key Inputs'!A94)</f>
        <v>Public Services</v>
      </c>
      <c r="W9" s="9" t="str">
        <f>IF('Key Inputs'!B94="","",'Key Inputs'!B94)</f>
        <v>Building lighting</v>
      </c>
      <c r="X9" s="9" t="str">
        <f>IF('Key Inputs'!C94="","",'Key Inputs'!C94)</f>
        <v>Electricity</v>
      </c>
      <c r="Y9" s="9" t="str">
        <f>IF('Key Inputs'!D94="","",'Key Inputs'!D94)</f>
        <v>ELC</v>
      </c>
      <c r="Z9" s="9" t="str">
        <f>IF('Key Inputs'!E94="","",'Key Inputs'!E94)</f>
        <v>SRVELC</v>
      </c>
      <c r="AA9" s="9" t="str">
        <f>_xlfn.XLOOKUP(V9,Legend!$A$21:$A$22,Legend!$C$21:$C$22)</f>
        <v>PU</v>
      </c>
      <c r="AB9" s="9" t="str">
        <f>_xlfn.XLOOKUP(W9,Legend!$A$24:$A$34,Legend!$C$24:$C$34)</f>
        <v>LIG</v>
      </c>
      <c r="AC9" s="16">
        <f t="shared" si="6"/>
        <v>2.1785486512392636</v>
      </c>
      <c r="AD9" s="16">
        <f t="shared" si="7"/>
        <v>9.424570836151025</v>
      </c>
    </row>
    <row r="10" spans="2:30">
      <c r="B10" s="27" t="str">
        <f>IF($Y10="",L10,N10)</f>
        <v>S-REF-PU_ELC_X0</v>
      </c>
      <c r="C10" s="9" t="str">
        <f>IF($Y10="","",O10)</f>
        <v>Public Services - Refrigeration: Electricity</v>
      </c>
      <c r="D10" s="43" t="str">
        <f t="shared" si="2"/>
        <v>SRVELC</v>
      </c>
      <c r="E10" s="9" t="str">
        <f>IF($Y10="","",CONCATENATE(Legend!$C$4,AB10,"-",AA10))</f>
        <v>SRVREF-PU</v>
      </c>
      <c r="F10" s="43">
        <f>IF($Y10="","",SUMIFS('Key Inputs'!$J$29:$J$114,'Key Inputs'!$A$29:$A$114,$V10,'Key Inputs'!$B$29:$B$114,$W10,'Key Inputs'!$C$29:$C$114,$X10))</f>
        <v>49.000107826372364</v>
      </c>
      <c r="G10" s="43">
        <f>IF($Y10="","",SUMIFS('Key Inputs'!$G$29:$G$114,'Key Inputs'!$A$29:$A$114,$V10,'Key Inputs'!$B$29:$B$114,$W10,'Key Inputs'!$C$29:$C$114,$X10))</f>
        <v>58.016156280053544</v>
      </c>
      <c r="H10" s="257">
        <f t="shared" si="8"/>
        <v>1</v>
      </c>
      <c r="I10" s="261">
        <f>IF($Y10="","",SUMIFS('Key Inputs'!$H$29:$H$114,'Key Inputs'!$A$29:$A$114,$V10,'Key Inputs'!$B$29:$B$114,$W10,'Key Inputs'!$C$29:$C$114,$X10))</f>
        <v>10</v>
      </c>
      <c r="J10" s="53">
        <f t="shared" si="9"/>
        <v>1</v>
      </c>
      <c r="L10" s="27" t="str">
        <f>IF($Y10="","*"&amp;V11&amp;" "&amp;W11,"PRE")</f>
        <v>PRE</v>
      </c>
      <c r="M10" s="27" t="str">
        <f>IF($AB10="","",_xlfn.TEXTJOIN(",",TRUE,IF(LEFT(Regions!$C$3,1)&lt;&gt;"*",Regions!$C$3,""),IF(LEFT(Regions!$D$3,1)&lt;&gt;"*",Regions!$D$3,"")))</f>
        <v>IE,National</v>
      </c>
      <c r="N10" s="9" t="str">
        <f>IF($Y10="","",CONCATENATE(LEFT(Legend!$C$4),"-",$AB10,"-",$AA10,"_",$Y10,"_X0"))</f>
        <v>S-REF-PU_ELC_X0</v>
      </c>
      <c r="O10" s="9" t="str">
        <f t="shared" si="4"/>
        <v>Public Services - Refrigeration: Electricity</v>
      </c>
      <c r="P10" s="9" t="str">
        <f t="shared" si="10"/>
        <v>kunits</v>
      </c>
      <c r="Q10" s="9" t="str">
        <f t="shared" si="10"/>
        <v>kunits</v>
      </c>
      <c r="R10" s="9" t="str">
        <f t="shared" si="5"/>
        <v>ANNUAL</v>
      </c>
      <c r="V10" s="9" t="str">
        <f>IF('Key Inputs'!A95="","",'Key Inputs'!A95)</f>
        <v>Public Services</v>
      </c>
      <c r="W10" s="9" t="str">
        <f>IF('Key Inputs'!B95="","",'Key Inputs'!B95)</f>
        <v>Refrigeration</v>
      </c>
      <c r="X10" s="9" t="str">
        <f>IF('Key Inputs'!C95="","",'Key Inputs'!C95)</f>
        <v>Electricity</v>
      </c>
      <c r="Y10" s="9" t="str">
        <f>IF('Key Inputs'!D95="","",'Key Inputs'!D95)</f>
        <v>ELC</v>
      </c>
      <c r="Z10" s="9" t="str">
        <f>IF('Key Inputs'!E95="","",'Key Inputs'!E95)</f>
        <v>SRVELC</v>
      </c>
      <c r="AA10" s="9" t="str">
        <f>_xlfn.XLOOKUP(V10,Legend!$A$21:$A$22,Legend!$C$21:$C$22)</f>
        <v>PU</v>
      </c>
      <c r="AB10" s="9" t="str">
        <f>_xlfn.XLOOKUP(W10,Legend!$A$24:$A$34,Legend!$C$24:$C$34)</f>
        <v>REF</v>
      </c>
      <c r="AC10" s="16">
        <f t="shared" si="6"/>
        <v>0.84459417803966141</v>
      </c>
      <c r="AD10" s="16">
        <f t="shared" si="7"/>
        <v>49.000107826372364</v>
      </c>
    </row>
    <row r="11" spans="2:30">
      <c r="B11" s="34" t="str">
        <f>IF($Y11="",L11,N11)</f>
        <v>S-OEL-PU_ELC_X0</v>
      </c>
      <c r="C11" s="14" t="str">
        <f>IF($Y11="","",O11)</f>
        <v>Public Services - Other appliances: Electricity</v>
      </c>
      <c r="D11" s="77" t="str">
        <f t="shared" si="2"/>
        <v>SRVELC</v>
      </c>
      <c r="E11" s="14" t="str">
        <f>IF($Y11="","",CONCATENATE(Legend!$C$4,AB11,"-",AA11))</f>
        <v>SRVOEL-PU</v>
      </c>
      <c r="F11" s="77">
        <f>IF($Y11="","",SUMIFS('Key Inputs'!$J$29:$J$114,'Key Inputs'!$A$29:$A$114,$V11,'Key Inputs'!$B$29:$B$114,$W11,'Key Inputs'!$C$29:$C$114,$X11))</f>
        <v>9.18999165706013E-2</v>
      </c>
      <c r="G11" s="77">
        <f>IF($Y11="","",SUMIFS('Key Inputs'!$G$29:$G$114,'Key Inputs'!$A$29:$A$114,$V11,'Key Inputs'!$B$29:$B$114,$W11,'Key Inputs'!$C$29:$C$114,$X11))</f>
        <v>1</v>
      </c>
      <c r="H11" s="263">
        <v>1</v>
      </c>
      <c r="I11" s="263">
        <f>IF($Y11="","",SUMIFS('Key Inputs'!$H$29:$H$114,'Key Inputs'!$A$29:$A$114,$V11,'Key Inputs'!$B$29:$B$114,$W11,'Key Inputs'!$C$29:$C$114,$X11))</f>
        <v>10</v>
      </c>
      <c r="J11" s="306">
        <v>31.536000000000001</v>
      </c>
      <c r="L11" s="34" t="str">
        <f>IF($Y11="","*"&amp;#REF!&amp;" "&amp;#REF!,"PRE")</f>
        <v>PRE</v>
      </c>
      <c r="M11" s="34" t="str">
        <f>IF($AB11="","",_xlfn.TEXTJOIN(",",TRUE,IF(LEFT(Regions!$C$3,1)&lt;&gt;"*",Regions!$C$3,""),IF(LEFT(Regions!$D$3,1)&lt;&gt;"*",Regions!$D$3,"")))</f>
        <v>IE,National</v>
      </c>
      <c r="N11" s="14" t="str">
        <f>IF($Y11="","",CONCATENATE(LEFT(Legend!$C$4),"-",$AB11,"-",$AA11,"_",$Y11,"_X0"))</f>
        <v>S-OEL-PU_ELC_X0</v>
      </c>
      <c r="O11" s="14" t="str">
        <f t="shared" si="4"/>
        <v>Public Services - Other appliances: Electricity</v>
      </c>
      <c r="P11" s="14" t="str">
        <f>IF($Y11="","","PJ")</f>
        <v>PJ</v>
      </c>
      <c r="Q11" s="14" t="s">
        <v>67</v>
      </c>
      <c r="R11" s="14" t="str">
        <f t="shared" si="5"/>
        <v>ANNUAL</v>
      </c>
      <c r="S11" s="14"/>
      <c r="T11" s="14"/>
      <c r="V11" s="9" t="str">
        <f>IF('Key Inputs'!A96="","",'Key Inputs'!A96)</f>
        <v>Public Services</v>
      </c>
      <c r="W11" s="9" t="str">
        <f>IF('Key Inputs'!B96="","",'Key Inputs'!B96)</f>
        <v>Other appliances</v>
      </c>
      <c r="X11" s="9" t="str">
        <f>IF('Key Inputs'!C96="","",'Key Inputs'!C96)</f>
        <v>Electricity</v>
      </c>
      <c r="Y11" s="9" t="str">
        <f>IF('Key Inputs'!D96="","",'Key Inputs'!D96)</f>
        <v>ELC</v>
      </c>
      <c r="Z11" s="9" t="str">
        <f>IF('Key Inputs'!E96="","",'Key Inputs'!E96)</f>
        <v>SRVELC</v>
      </c>
      <c r="AA11" s="9" t="str">
        <f>_xlfn.XLOOKUP(V11,Legend!$A$21:$A$22,Legend!$C$21:$C$22)</f>
        <v>PU</v>
      </c>
      <c r="AB11" s="9" t="str">
        <f>_xlfn.XLOOKUP(W11,Legend!$A$24:$A$34,Legend!$C$24:$C$34)</f>
        <v>OEL</v>
      </c>
      <c r="AC11" s="16">
        <f t="shared" si="6"/>
        <v>2.8981557689704829</v>
      </c>
      <c r="AD11" s="16">
        <f t="shared" si="7"/>
        <v>2.8981557689704829</v>
      </c>
    </row>
    <row r="12" spans="2:30">
      <c r="B12" s="27"/>
      <c r="D12" s="43"/>
      <c r="F12" s="43"/>
      <c r="G12" s="255"/>
      <c r="H12" s="255"/>
      <c r="I12" s="257"/>
      <c r="J12" s="51"/>
      <c r="L12" s="27"/>
      <c r="M12" s="27"/>
    </row>
    <row r="13" spans="2:30">
      <c r="B13" s="27"/>
      <c r="D13" s="43"/>
      <c r="E13" s="15" t="s">
        <v>510</v>
      </c>
      <c r="F13" s="264">
        <f>SUM(F6:F11)</f>
        <v>176.39015522886788</v>
      </c>
      <c r="G13" s="255"/>
      <c r="H13" s="255"/>
      <c r="I13" s="257"/>
      <c r="J13" s="51"/>
      <c r="L13" s="27"/>
      <c r="M13" s="27"/>
      <c r="AC13" s="165">
        <f>SUM(AC6:AC11)</f>
        <v>26.559364665813675</v>
      </c>
      <c r="AD13" s="165">
        <f>SUM(AD6:AD11)</f>
        <v>188.9773219276554</v>
      </c>
    </row>
  </sheetData>
  <mergeCells count="7">
    <mergeCell ref="AB3:AB4"/>
    <mergeCell ref="V3:V4"/>
    <mergeCell ref="W3:W4"/>
    <mergeCell ref="X3:X4"/>
    <mergeCell ref="Y3:Y4"/>
    <mergeCell ref="Z3:Z4"/>
    <mergeCell ref="AA3:AA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7C92-5C99-4FCA-8E22-102A691C05A1}">
  <sheetPr codeName="Sheet11">
    <tabColor theme="9" tint="0.59999389629810485"/>
  </sheetPr>
  <dimension ref="B1:AD19"/>
  <sheetViews>
    <sheetView zoomScale="80" zoomScaleNormal="80" workbookViewId="0">
      <selection activeCell="I16" sqref="I16"/>
    </sheetView>
  </sheetViews>
  <sheetFormatPr defaultColWidth="8.81640625" defaultRowHeight="14.5"/>
  <cols>
    <col min="1" max="1" width="2.26953125" style="9" customWidth="1"/>
    <col min="2" max="2" width="22" style="9" customWidth="1"/>
    <col min="3" max="3" width="51.54296875" style="9" bestFit="1" customWidth="1"/>
    <col min="4" max="4" width="17.26953125" style="9" bestFit="1" customWidth="1"/>
    <col min="5" max="5" width="16.26953125" style="9" customWidth="1"/>
    <col min="6" max="10" width="13" style="9" customWidth="1"/>
    <col min="11" max="11" width="4.81640625" style="9" customWidth="1"/>
    <col min="12" max="13" width="17.26953125" style="9" customWidth="1"/>
    <col min="14" max="14" width="17.1796875" style="9" bestFit="1" customWidth="1"/>
    <col min="15" max="15" width="51.54296875" style="9" bestFit="1" customWidth="1"/>
    <col min="16" max="20" width="10.81640625" style="9" customWidth="1"/>
    <col min="21" max="21" width="4.81640625" style="9" customWidth="1"/>
    <col min="22" max="22" width="21.453125" style="9" bestFit="1" customWidth="1"/>
    <col min="23" max="23" width="18.1796875" style="9" bestFit="1" customWidth="1"/>
    <col min="24" max="24" width="20.26953125" style="9" bestFit="1" customWidth="1"/>
    <col min="25" max="25" width="10.1796875" style="9" bestFit="1" customWidth="1"/>
    <col min="26" max="26" width="9.54296875" style="9" bestFit="1" customWidth="1"/>
    <col min="27" max="27" width="11.26953125" style="9" bestFit="1" customWidth="1"/>
    <col min="28" max="28" width="14.26953125" style="9" bestFit="1" customWidth="1"/>
    <col min="29" max="30" width="16.7265625" style="9" customWidth="1"/>
    <col min="31" max="31" width="4.81640625" style="9" customWidth="1"/>
    <col min="32" max="32" width="8.81640625" style="9"/>
    <col min="33" max="34" width="19.26953125" style="9" customWidth="1"/>
    <col min="35" max="48" width="8.81640625" style="9"/>
    <col min="49" max="49" width="12.26953125" style="9" bestFit="1" customWidth="1"/>
    <col min="50" max="16384" width="8.81640625" style="9"/>
  </cols>
  <sheetData>
    <row r="1" spans="2:30" ht="23.5">
      <c r="B1" s="20" t="s">
        <v>515</v>
      </c>
      <c r="C1" s="20"/>
    </row>
    <row r="2" spans="2:30">
      <c r="B2" s="40" t="s">
        <v>86</v>
      </c>
      <c r="L2" s="35" t="s">
        <v>13</v>
      </c>
      <c r="M2" s="35"/>
      <c r="N2" s="36"/>
      <c r="O2" s="36"/>
      <c r="P2" s="36"/>
      <c r="Q2" s="36"/>
      <c r="R2" s="36"/>
      <c r="S2" s="36"/>
      <c r="T2" s="36"/>
      <c r="AD2" s="14"/>
    </row>
    <row r="3" spans="2:30" ht="15" thickBot="1">
      <c r="B3" s="21" t="s">
        <v>4</v>
      </c>
      <c r="C3" s="41" t="s">
        <v>123</v>
      </c>
      <c r="D3" s="21" t="s">
        <v>22</v>
      </c>
      <c r="E3" s="21" t="s">
        <v>23</v>
      </c>
      <c r="F3" s="21" t="s">
        <v>111</v>
      </c>
      <c r="G3" s="21" t="s">
        <v>87</v>
      </c>
      <c r="H3" s="21" t="s">
        <v>142</v>
      </c>
      <c r="I3" s="21" t="s">
        <v>29</v>
      </c>
      <c r="J3" s="21" t="s">
        <v>124</v>
      </c>
      <c r="L3" s="21" t="s">
        <v>14</v>
      </c>
      <c r="M3" s="21" t="s">
        <v>520</v>
      </c>
      <c r="N3" s="21" t="s">
        <v>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V3" s="609" t="s">
        <v>378</v>
      </c>
      <c r="W3" s="609" t="s">
        <v>160</v>
      </c>
      <c r="X3" s="609" t="s">
        <v>81</v>
      </c>
      <c r="Y3" s="609" t="s">
        <v>498</v>
      </c>
      <c r="Z3" s="609" t="s">
        <v>499</v>
      </c>
      <c r="AA3" s="609" t="s">
        <v>500</v>
      </c>
      <c r="AB3" s="609" t="s">
        <v>501</v>
      </c>
      <c r="AC3" s="49" t="s">
        <v>77</v>
      </c>
      <c r="AD3" s="135"/>
    </row>
    <row r="4" spans="2:30" ht="52.5" thickBot="1">
      <c r="B4" s="39" t="s">
        <v>125</v>
      </c>
      <c r="C4" s="39" t="s">
        <v>89</v>
      </c>
      <c r="D4" s="39" t="s">
        <v>126</v>
      </c>
      <c r="E4" s="39" t="s">
        <v>127</v>
      </c>
      <c r="F4" s="39" t="s">
        <v>143</v>
      </c>
      <c r="G4" s="39" t="s">
        <v>129</v>
      </c>
      <c r="H4" s="39" t="s">
        <v>128</v>
      </c>
      <c r="I4" s="39" t="s">
        <v>136</v>
      </c>
      <c r="J4" s="39" t="s">
        <v>130</v>
      </c>
      <c r="L4" s="37" t="s">
        <v>115</v>
      </c>
      <c r="M4" s="37" t="s">
        <v>534</v>
      </c>
      <c r="N4" s="37" t="s">
        <v>116</v>
      </c>
      <c r="O4" s="37" t="s">
        <v>89</v>
      </c>
      <c r="P4" s="37" t="s">
        <v>117</v>
      </c>
      <c r="Q4" s="37" t="s">
        <v>118</v>
      </c>
      <c r="R4" s="37" t="s">
        <v>119</v>
      </c>
      <c r="S4" s="37" t="s">
        <v>120</v>
      </c>
      <c r="T4" s="37" t="s">
        <v>121</v>
      </c>
      <c r="V4" s="610"/>
      <c r="W4" s="610"/>
      <c r="X4" s="610"/>
      <c r="Y4" s="610"/>
      <c r="Z4" s="610"/>
      <c r="AA4" s="610"/>
      <c r="AB4" s="610"/>
      <c r="AC4" s="13" t="s">
        <v>146</v>
      </c>
      <c r="AD4" s="56" t="s">
        <v>502</v>
      </c>
    </row>
    <row r="5" spans="2:30">
      <c r="B5" s="270" t="s">
        <v>131</v>
      </c>
      <c r="C5" s="270"/>
      <c r="D5" s="270"/>
      <c r="E5" s="270"/>
      <c r="F5" s="270" t="str">
        <f>Q7</f>
        <v>Mlamps</v>
      </c>
      <c r="G5" s="270" t="s">
        <v>148</v>
      </c>
      <c r="H5" s="270" t="s">
        <v>132</v>
      </c>
      <c r="I5" s="270" t="s">
        <v>138</v>
      </c>
      <c r="J5" s="270" t="s">
        <v>507</v>
      </c>
      <c r="L5" s="270" t="s">
        <v>496</v>
      </c>
      <c r="M5" s="42"/>
      <c r="N5" s="271"/>
      <c r="O5" s="271"/>
      <c r="P5" s="271"/>
      <c r="Q5" s="271"/>
      <c r="R5" s="271"/>
      <c r="S5" s="271"/>
      <c r="T5" s="271"/>
      <c r="V5" s="17"/>
      <c r="W5" s="17"/>
      <c r="X5" s="17"/>
      <c r="Y5" s="17"/>
      <c r="Z5" s="17"/>
      <c r="AA5" s="17"/>
      <c r="AB5" s="17"/>
      <c r="AC5" s="57" t="s">
        <v>46</v>
      </c>
      <c r="AD5" s="57" t="s">
        <v>46</v>
      </c>
    </row>
    <row r="6" spans="2:30">
      <c r="B6" s="15" t="str">
        <f t="shared" ref="B6" si="0">IF($Y6="",L6,N6)</f>
        <v>*Public Services Public lighting</v>
      </c>
      <c r="C6" s="15"/>
      <c r="D6" s="264"/>
      <c r="F6" s="43"/>
      <c r="G6" s="43"/>
      <c r="H6" s="279"/>
      <c r="I6" s="261"/>
      <c r="J6" s="264"/>
      <c r="K6" s="15"/>
      <c r="L6" s="15" t="str">
        <f t="shared" ref="L6" si="1">IF($Y6="","*"&amp;V7&amp;" "&amp;W7,"DMD")</f>
        <v>*Public Services Public lighting</v>
      </c>
      <c r="M6" s="36"/>
      <c r="N6" s="15"/>
      <c r="O6" s="15"/>
      <c r="P6" s="15"/>
      <c r="R6" s="15"/>
      <c r="S6" s="15"/>
      <c r="T6" s="15"/>
      <c r="V6" s="9" t="str">
        <f>IF('Key Inputs'!A102="","",'Key Inputs'!A102)</f>
        <v/>
      </c>
      <c r="W6" s="9" t="str">
        <f>IF('Key Inputs'!B102="","",'Key Inputs'!B102)</f>
        <v/>
      </c>
      <c r="X6" s="9" t="str">
        <f>IF('Key Inputs'!C102="","",'Key Inputs'!C102)</f>
        <v/>
      </c>
      <c r="Y6" s="9" t="str">
        <f>IF('Key Inputs'!D102="","",'Key Inputs'!D102)</f>
        <v/>
      </c>
      <c r="AC6" s="16" t="str">
        <f>IF($Y6="","",AD6/G6)</f>
        <v/>
      </c>
      <c r="AD6" s="16" t="str">
        <f>IF($Y6="","",F6*H6*J6)</f>
        <v/>
      </c>
    </row>
    <row r="7" spans="2:30">
      <c r="B7" s="27" t="str">
        <f>IF($Y7="",L7,N7)</f>
        <v>S-PLIG-PU_X1</v>
      </c>
      <c r="C7" s="9" t="str">
        <f>IF($Y7="","",O7)</f>
        <v>Public Services - Public lighting: Sodium vapor lamp</v>
      </c>
      <c r="D7" s="43" t="str">
        <f>IF($Y7="","",Z7)</f>
        <v>SRVELC</v>
      </c>
      <c r="E7" s="9" t="str">
        <f>IF($Y7="","",CONCATENATE(Legend!$C$4,AB7,"-",Legend!$C$22))</f>
        <v>SRVPLIG-PU</v>
      </c>
      <c r="F7" s="43">
        <f>IF($Y7="","",SUMIFS('Key Inputs'!$M$29:$M$114,'Key Inputs'!$A$29:$A$114,$V7,'Key Inputs'!$B$29:$B$114,$W7,'Key Inputs'!$C$29:$C$114,$X7))</f>
        <v>1.9199999999999998E-2</v>
      </c>
      <c r="G7" s="43">
        <f>IF($Y7="","",1/SUMIFS('Key Inputs'!$L$29:$L$114,'Key Inputs'!$A$29:$A$114,$V7,'Key Inputs'!$B$29:$B$114,$W7,'Key Inputs'!$C$29:$C$114,$X7))</f>
        <v>0.48784295359637825</v>
      </c>
      <c r="H7" s="261">
        <f>IF($Y7="","",1)</f>
        <v>1</v>
      </c>
      <c r="I7" s="261">
        <f>IF($Y7="","",SUMIFS('Key Inputs'!$K$29:$K$114,'Key Inputs'!$A$29:$A$114,$V7,'Key Inputs'!$B$29:$B$114,$W7,'Key Inputs'!$C$29:$C$114,$X7))</f>
        <v>20</v>
      </c>
      <c r="J7" s="53">
        <f t="shared" ref="J7:J10" si="2">IF($Y7="","",1)</f>
        <v>1</v>
      </c>
      <c r="L7" s="27" t="str">
        <f>IF($Y7="","*"&amp;V8&amp;" "&amp;W8,"DMD")</f>
        <v>DMD</v>
      </c>
      <c r="M7" s="36" t="str">
        <f>IF($AB7="","",_xlfn.TEXTJOIN(",",TRUE,IF(LEFT(Regions!$C$3,1)&lt;&gt;"*",Regions!$C$3,""),IF(LEFT(Regions!$D$3,1)&lt;&gt;"*",Regions!$D$3,"")))</f>
        <v>IE,National</v>
      </c>
      <c r="N7" s="36" t="str">
        <f>IF($Y7="","",CONCATENATE(LEFT(Legend!$C$4),"-",$AB7,"-",$AA7,"_",$Y7))</f>
        <v>S-PLIG-PU_X1</v>
      </c>
      <c r="O7" s="9" t="str">
        <f>IF($Y7="","",CONCATENATE(V7," - ",W7,": ",X7))</f>
        <v>Public Services - Public lighting: Sodium vapor lamp</v>
      </c>
      <c r="P7" s="9" t="str">
        <f>IF($Y7="","",'Key Inputs'!$M$102)</f>
        <v>Mlamps</v>
      </c>
      <c r="Q7" s="9" t="str">
        <f>IF($Y7="","",'Key Inputs'!$M$102)</f>
        <v>Mlamps</v>
      </c>
      <c r="V7" s="9" t="str">
        <f>IF('Key Inputs'!A103="","",'Key Inputs'!A103)</f>
        <v>Public Services</v>
      </c>
      <c r="W7" s="9" t="str">
        <f>IF('Key Inputs'!B103="","",'Key Inputs'!B103)</f>
        <v>Public lighting</v>
      </c>
      <c r="X7" s="9" t="str">
        <f>IF('Key Inputs'!C103="","",'Key Inputs'!C103)</f>
        <v>Sodium vapor lamp</v>
      </c>
      <c r="Y7" s="9" t="s">
        <v>511</v>
      </c>
      <c r="Z7" s="9" t="str">
        <f>IF('Key Inputs'!E103="","",'Key Inputs'!E103)</f>
        <v>SRVELC</v>
      </c>
      <c r="AA7" s="9" t="str">
        <f>_xlfn.XLOOKUP(V7,Legend!$A$21:$A$22,Legend!$C$21:$C$22)</f>
        <v>PU</v>
      </c>
      <c r="AB7" s="9" t="str">
        <f>_xlfn.XLOOKUP(W7,Legend!$A$24:$A$34,Legend!$C$24:$C$34)</f>
        <v>PLIG</v>
      </c>
      <c r="AC7" s="16">
        <f>IF($Y7="","",AD7/G7)</f>
        <v>3.9356927999999999E-2</v>
      </c>
      <c r="AD7" s="16">
        <f>IF($Y7="","",F7*H7*J7)</f>
        <v>1.9199999999999998E-2</v>
      </c>
    </row>
    <row r="8" spans="2:30">
      <c r="B8" s="27" t="str">
        <f>IF($Y8="",L8,N8)</f>
        <v>S-PLIG-PU_X2</v>
      </c>
      <c r="C8" s="9" t="str">
        <f>IF($Y8="","",O8)</f>
        <v>Public Services - Public lighting: Mercury lamps</v>
      </c>
      <c r="D8" s="43" t="str">
        <f>IF($Y8="","",Z8)</f>
        <v>SRVELC</v>
      </c>
      <c r="E8" s="9" t="str">
        <f>IF($Y8="","",CONCATENATE(Legend!$C$4,AB8,"-",Legend!$C$22))</f>
        <v>SRVPLIG-PU</v>
      </c>
      <c r="F8" s="43">
        <f>IF($Y8="","",SUMIFS('Key Inputs'!$M$29:$M$114,'Key Inputs'!$A$29:$A$114,$V8,'Key Inputs'!$B$29:$B$114,$W8,'Key Inputs'!$C$29:$C$114,$X8))</f>
        <v>7.1999999999999995E-2</v>
      </c>
      <c r="G8" s="43">
        <f>IF($Y8="","",1/SUMIFS('Key Inputs'!$L$29:$L$114,'Key Inputs'!$A$29:$A$114,$V8,'Key Inputs'!$B$29:$B$114,$W8,'Key Inputs'!$C$29:$C$114,$X8))</f>
        <v>0.37305637627958338</v>
      </c>
      <c r="H8" s="261">
        <f t="shared" ref="H8:H10" si="3">IF($Y8="","",1)</f>
        <v>1</v>
      </c>
      <c r="I8" s="261">
        <f>IF($Y8="","",SUMIFS('Key Inputs'!$K$29:$K$114,'Key Inputs'!$A$29:$A$114,$V8,'Key Inputs'!$B$29:$B$114,$W8,'Key Inputs'!$C$29:$C$114,$X8))</f>
        <v>20</v>
      </c>
      <c r="J8" s="53">
        <f t="shared" si="2"/>
        <v>1</v>
      </c>
      <c r="L8" s="27" t="str">
        <f t="shared" ref="L8:L10" si="4">IF($Y8="","*"&amp;V9&amp;" "&amp;W9,"DMD")</f>
        <v>DMD</v>
      </c>
      <c r="M8" s="27" t="str">
        <f>IF($AB8="","",_xlfn.TEXTJOIN(",",TRUE,IF(LEFT(Regions!$C$3,1)&lt;&gt;"*",Regions!$C$3,""),IF(LEFT(Regions!$D$3,1)&lt;&gt;"*",Regions!$D$3,"")))</f>
        <v>IE,National</v>
      </c>
      <c r="N8" s="27" t="str">
        <f>IF($Y8="","",CONCATENATE(LEFT(Legend!$C$4),"-",$AB8,"-",$AA8,"_",$Y8))</f>
        <v>S-PLIG-PU_X2</v>
      </c>
      <c r="O8" s="9" t="str">
        <f>IF($Y8="","",CONCATENATE(V8," - ",W8,": ",X8))</f>
        <v>Public Services - Public lighting: Mercury lamps</v>
      </c>
      <c r="P8" s="9" t="str">
        <f>IF($Y8="","",'Key Inputs'!$M$102)</f>
        <v>Mlamps</v>
      </c>
      <c r="Q8" s="9" t="str">
        <f>IF($Y8="","",'Key Inputs'!$M$102)</f>
        <v>Mlamps</v>
      </c>
      <c r="V8" s="9" t="str">
        <f>IF('Key Inputs'!A104="","",'Key Inputs'!A104)</f>
        <v>Public Services</v>
      </c>
      <c r="W8" s="9" t="str">
        <f>IF('Key Inputs'!B104="","",'Key Inputs'!B104)</f>
        <v>Public lighting</v>
      </c>
      <c r="X8" s="9" t="str">
        <f>IF('Key Inputs'!C104="","",'Key Inputs'!C104)</f>
        <v>Mercury lamps</v>
      </c>
      <c r="Y8" s="9" t="s">
        <v>512</v>
      </c>
      <c r="Z8" s="9" t="str">
        <f>IF('Key Inputs'!E104="","",'Key Inputs'!E104)</f>
        <v>SRVELC</v>
      </c>
      <c r="AA8" s="9" t="str">
        <f>_xlfn.XLOOKUP(V8,Legend!$A$21:$A$22,Legend!$C$21:$C$22)</f>
        <v>PU</v>
      </c>
      <c r="AB8" s="9" t="str">
        <f>_xlfn.XLOOKUP(W8,Legend!$A$24:$A$34,Legend!$C$24:$C$34)</f>
        <v>PLIG</v>
      </c>
      <c r="AC8" s="16">
        <f>IF($Y8="","",AD8/G8)</f>
        <v>0.19300031999999998</v>
      </c>
      <c r="AD8" s="16">
        <f>IF($Y8="","",F8*H8*J8)</f>
        <v>7.1999999999999995E-2</v>
      </c>
    </row>
    <row r="9" spans="2:30">
      <c r="B9" s="27" t="str">
        <f>IF($Y9="",L9,N9)</f>
        <v>S-PLIG-PU_X3</v>
      </c>
      <c r="C9" s="9" t="str">
        <f>IF($Y9="","",O9)</f>
        <v>Public Services - Public lighting: Others</v>
      </c>
      <c r="D9" s="43" t="str">
        <f>IF($Y9="","",Z9)</f>
        <v>SRVELC</v>
      </c>
      <c r="E9" s="9" t="str">
        <f>IF($Y9="","",CONCATENATE(Legend!$C$4,AB9,"-",Legend!$C$22))</f>
        <v>SRVPLIG-PU</v>
      </c>
      <c r="F9" s="43">
        <f>IF($Y9="","",SUMIFS('Key Inputs'!$M$29:$M$114,'Key Inputs'!$A$29:$A$114,$V9,'Key Inputs'!$B$29:$B$114,$W9,'Key Inputs'!$C$29:$C$114,$X9))</f>
        <v>0.38400000000000001</v>
      </c>
      <c r="G9" s="43">
        <f>IF($Y9="","",1/SUMIFS('Key Inputs'!$L$29:$L$114,'Key Inputs'!$A$29:$A$114,$V9,'Key Inputs'!$B$29:$B$114,$W9,'Key Inputs'!$C$29:$C$114,$X9))</f>
        <v>0.31709791983764585</v>
      </c>
      <c r="H9" s="261">
        <f t="shared" si="3"/>
        <v>1</v>
      </c>
      <c r="I9" s="261">
        <f>IF($Y9="","",SUMIFS('Key Inputs'!$K$29:$K$114,'Key Inputs'!$A$29:$A$114,$V9,'Key Inputs'!$B$29:$B$114,$W9,'Key Inputs'!$C$29:$C$114,$X9))</f>
        <v>20</v>
      </c>
      <c r="J9" s="53">
        <f t="shared" si="2"/>
        <v>1</v>
      </c>
      <c r="L9" s="27" t="str">
        <f t="shared" si="4"/>
        <v>DMD</v>
      </c>
      <c r="M9" s="27" t="str">
        <f>IF($AB9="","",_xlfn.TEXTJOIN(",",TRUE,IF(LEFT(Regions!$C$3,1)&lt;&gt;"*",Regions!$C$3,""),IF(LEFT(Regions!$D$3,1)&lt;&gt;"*",Regions!$D$3,"")))</f>
        <v>IE,National</v>
      </c>
      <c r="N9" s="27" t="str">
        <f>IF($Y9="","",CONCATENATE(LEFT(Legend!$C$4),"-",$AB9,"-",$AA9,"_",$Y9))</f>
        <v>S-PLIG-PU_X3</v>
      </c>
      <c r="O9" s="9" t="str">
        <f>IF($Y9="","",CONCATENATE(V9," - ",W9,": ",X9))</f>
        <v>Public Services - Public lighting: Others</v>
      </c>
      <c r="P9" s="9" t="str">
        <f>IF($Y9="","",'Key Inputs'!$M$102)</f>
        <v>Mlamps</v>
      </c>
      <c r="Q9" s="9" t="str">
        <f>IF($Y9="","",'Key Inputs'!$M$102)</f>
        <v>Mlamps</v>
      </c>
      <c r="V9" s="9" t="str">
        <f>IF('Key Inputs'!A105="","",'Key Inputs'!A105)</f>
        <v>Public Services</v>
      </c>
      <c r="W9" s="9" t="str">
        <f>IF('Key Inputs'!B105="","",'Key Inputs'!B105)</f>
        <v>Public lighting</v>
      </c>
      <c r="X9" s="9" t="str">
        <f>IF('Key Inputs'!C105="","",'Key Inputs'!C105)</f>
        <v>Others</v>
      </c>
      <c r="Y9" s="9" t="s">
        <v>513</v>
      </c>
      <c r="Z9" s="9" t="str">
        <f>IF('Key Inputs'!E105="","",'Key Inputs'!E105)</f>
        <v>SRVELC</v>
      </c>
      <c r="AA9" s="9" t="str">
        <f>_xlfn.XLOOKUP(V9,Legend!$A$21:$A$22,Legend!$C$21:$C$22)</f>
        <v>PU</v>
      </c>
      <c r="AB9" s="9" t="str">
        <f>_xlfn.XLOOKUP(W9,Legend!$A$24:$A$34,Legend!$C$24:$C$34)</f>
        <v>PLIG</v>
      </c>
      <c r="AC9" s="16">
        <f>IF($Y9="","",AD9/G9)</f>
        <v>1.2109824</v>
      </c>
      <c r="AD9" s="16">
        <f>IF($Y9="","",F9*H9*J9)</f>
        <v>0.38400000000000001</v>
      </c>
    </row>
    <row r="10" spans="2:30">
      <c r="B10" s="34" t="str">
        <f>IF($Y10="",L10,N10)</f>
        <v>S-PLIG-PU_X4</v>
      </c>
      <c r="C10" s="14" t="str">
        <f>IF($Y10="","",O10)</f>
        <v>Public Services - Public lighting: LED</v>
      </c>
      <c r="D10" s="77" t="str">
        <f>IF($Y10="","",Z10)</f>
        <v>SRVELC</v>
      </c>
      <c r="E10" s="14" t="str">
        <f>IF($Y10="","",CONCATENATE(Legend!$C$4,AB10,"-",Legend!$C$22))</f>
        <v>SRVPLIG-PU</v>
      </c>
      <c r="F10" s="77">
        <f>IF($Y10="","",SUMIFS('Key Inputs'!$M$29:$M$114,'Key Inputs'!$A$29:$A$114,$V10,'Key Inputs'!$B$29:$B$114,$W10,'Key Inputs'!$C$29:$C$114,$X10))</f>
        <v>4.7999999999999996E-3</v>
      </c>
      <c r="G10" s="77">
        <f>IF($Y10="","",1/SUMIFS('Key Inputs'!$L$29:$L$114,'Key Inputs'!$A$29:$A$114,$V10,'Key Inputs'!$B$29:$B$114,$W10,'Key Inputs'!$C$29:$C$114,$X10))</f>
        <v>1.2683916793505834</v>
      </c>
      <c r="H10" s="263">
        <f t="shared" si="3"/>
        <v>1</v>
      </c>
      <c r="I10" s="263">
        <f>IF($Y10="","",SUMIFS('Key Inputs'!$K$29:$K$114,'Key Inputs'!$A$29:$A$114,$V10,'Key Inputs'!$B$29:$B$114,$W10,'Key Inputs'!$C$29:$C$114,$X10))</f>
        <v>20</v>
      </c>
      <c r="J10" s="281">
        <f t="shared" si="2"/>
        <v>1</v>
      </c>
      <c r="L10" s="34" t="str">
        <f t="shared" si="4"/>
        <v>DMD</v>
      </c>
      <c r="M10" s="34" t="str">
        <f>IF($AB10="","",_xlfn.TEXTJOIN(",",TRUE,IF(LEFT(Regions!$C$3,1)&lt;&gt;"*",Regions!$C$3,""),IF(LEFT(Regions!$D$3,1)&lt;&gt;"*",Regions!$D$3,"")))</f>
        <v>IE,National</v>
      </c>
      <c r="N10" s="34" t="str">
        <f>IF($Y10="","",CONCATENATE(LEFT(Legend!$C$4),"-",$AB10,"-",$AA10,"_",$Y10))</f>
        <v>S-PLIG-PU_X4</v>
      </c>
      <c r="O10" s="14" t="str">
        <f>IF($Y10="","",CONCATENATE(V10," - ",W10,": ",X10))</f>
        <v>Public Services - Public lighting: LED</v>
      </c>
      <c r="P10" s="14" t="str">
        <f>IF($Y10="","",'Key Inputs'!$M$102)</f>
        <v>Mlamps</v>
      </c>
      <c r="Q10" s="14" t="str">
        <f>IF($Y10="","",'Key Inputs'!$M$102)</f>
        <v>Mlamps</v>
      </c>
      <c r="R10" s="14"/>
      <c r="S10" s="14"/>
      <c r="T10" s="14"/>
      <c r="V10" s="9" t="str">
        <f>IF('Key Inputs'!A106="","",'Key Inputs'!A106)</f>
        <v>Public Services</v>
      </c>
      <c r="W10" s="9" t="str">
        <f>IF('Key Inputs'!B106="","",'Key Inputs'!B106)</f>
        <v>Public lighting</v>
      </c>
      <c r="X10" s="9" t="str">
        <f>IF('Key Inputs'!C106="","",'Key Inputs'!C106)</f>
        <v>LED</v>
      </c>
      <c r="Y10" s="9" t="s">
        <v>514</v>
      </c>
      <c r="Z10" s="9" t="str">
        <f>IF('Key Inputs'!E106="","",'Key Inputs'!E106)</f>
        <v>SRVELC</v>
      </c>
      <c r="AA10" s="9" t="str">
        <f>_xlfn.XLOOKUP(V10,Legend!$A$21:$A$22,Legend!$C$21:$C$22)</f>
        <v>PU</v>
      </c>
      <c r="AB10" s="9" t="str">
        <f>_xlfn.XLOOKUP(W10,Legend!$A$24:$A$34,Legend!$C$24:$C$34)</f>
        <v>PLIG</v>
      </c>
      <c r="AC10" s="16">
        <f>IF($Y10="","",AD10/G10)</f>
        <v>3.7843199999999999E-3</v>
      </c>
      <c r="AD10" s="16">
        <f>IF($Y10="","",F10*H10*J10)</f>
        <v>4.7999999999999996E-3</v>
      </c>
    </row>
    <row r="11" spans="2:30">
      <c r="B11" s="27"/>
      <c r="D11" s="43"/>
      <c r="F11" s="43"/>
      <c r="G11" s="43"/>
      <c r="H11" s="261"/>
      <c r="I11" s="261"/>
      <c r="J11" s="43"/>
      <c r="L11" s="27"/>
      <c r="M11" s="27"/>
    </row>
    <row r="12" spans="2:30">
      <c r="B12" s="27"/>
      <c r="D12" s="43"/>
      <c r="E12" s="15" t="s">
        <v>510</v>
      </c>
      <c r="F12" s="264">
        <f>SUM(F6:F10)</f>
        <v>0.48000000000000004</v>
      </c>
      <c r="G12" s="255"/>
      <c r="H12" s="255"/>
      <c r="I12" s="257"/>
      <c r="J12" s="51"/>
      <c r="L12" s="27"/>
      <c r="M12" s="27"/>
      <c r="AC12" s="165">
        <f>SUM(AC6:AC10)</f>
        <v>1.4471239680000001</v>
      </c>
      <c r="AD12" s="165">
        <f>SUM(AD6:AD10)</f>
        <v>0.48000000000000004</v>
      </c>
    </row>
    <row r="14" spans="2:30" ht="23.5">
      <c r="B14" s="47" t="s">
        <v>519</v>
      </c>
    </row>
    <row r="15" spans="2:30">
      <c r="D15" s="40" t="s">
        <v>86</v>
      </c>
    </row>
    <row r="16" spans="2:30" ht="15" thickBot="1">
      <c r="B16" s="21" t="s">
        <v>520</v>
      </c>
      <c r="C16" s="21" t="s">
        <v>7</v>
      </c>
      <c r="D16" s="21" t="s">
        <v>607</v>
      </c>
      <c r="E16" s="21">
        <v>2018</v>
      </c>
    </row>
    <row r="17" spans="2:5" ht="26">
      <c r="B17" s="39" t="s">
        <v>606</v>
      </c>
      <c r="C17" s="39" t="s">
        <v>517</v>
      </c>
      <c r="D17" s="39"/>
      <c r="E17" s="39" t="s">
        <v>147</v>
      </c>
    </row>
    <row r="18" spans="2:5">
      <c r="B18" s="42" t="s">
        <v>131</v>
      </c>
      <c r="C18" s="270"/>
      <c r="D18" s="42"/>
      <c r="E18" s="278" t="str">
        <f>P10</f>
        <v>Mlamps</v>
      </c>
    </row>
    <row r="19" spans="2:5">
      <c r="B19" s="44" t="str">
        <f>_xlfn.TEXTJOIN(",",TRUE,IF(LEFT(Regions!$C$3,1)&lt;&gt;"*",Regions!$C$3,""),IF(LEFT(Regions!$D$3,1)&lt;&gt;"*",Regions!$D$3,""))</f>
        <v>IE,National</v>
      </c>
      <c r="C19" s="283" t="str">
        <f>E7</f>
        <v>SRVPLIG-PU</v>
      </c>
      <c r="D19" s="283" t="s">
        <v>139</v>
      </c>
      <c r="E19" s="284">
        <f>$AD$12</f>
        <v>0.48000000000000004</v>
      </c>
    </row>
  </sheetData>
  <mergeCells count="7">
    <mergeCell ref="AB3:AB4"/>
    <mergeCell ref="V3:V4"/>
    <mergeCell ref="W3:W4"/>
    <mergeCell ref="X3:X4"/>
    <mergeCell ref="Y3:Y4"/>
    <mergeCell ref="Z3:Z4"/>
    <mergeCell ref="AA3:AA4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F4F0-D4BF-4ECD-91FC-CCEB8E37F142}">
  <sheetPr codeName="Sheet12">
    <tabColor theme="9" tint="0.59999389629810485"/>
  </sheetPr>
  <dimension ref="B1:AD16"/>
  <sheetViews>
    <sheetView zoomScale="80" zoomScaleNormal="80" workbookViewId="0">
      <selection activeCell="A10" sqref="A10"/>
    </sheetView>
  </sheetViews>
  <sheetFormatPr defaultColWidth="8.81640625" defaultRowHeight="14.5"/>
  <cols>
    <col min="1" max="1" width="2.26953125" style="9" customWidth="1"/>
    <col min="2" max="2" width="22" style="9" customWidth="1"/>
    <col min="3" max="3" width="36" style="9" bestFit="1" customWidth="1"/>
    <col min="4" max="4" width="17.26953125" style="9" bestFit="1" customWidth="1"/>
    <col min="5" max="5" width="16.26953125" style="9" customWidth="1"/>
    <col min="6" max="10" width="13" style="9" customWidth="1"/>
    <col min="11" max="11" width="4.81640625" style="9" customWidth="1"/>
    <col min="12" max="12" width="20.54296875" style="9" customWidth="1"/>
    <col min="13" max="13" width="12.453125" style="9" customWidth="1"/>
    <col min="14" max="14" width="16.453125" style="9" bestFit="1" customWidth="1"/>
    <col min="15" max="15" width="51.54296875" style="9" bestFit="1" customWidth="1"/>
    <col min="16" max="20" width="10.81640625" style="9" customWidth="1"/>
    <col min="21" max="21" width="4.81640625" style="9" customWidth="1"/>
    <col min="22" max="22" width="21.453125" style="9" bestFit="1" customWidth="1"/>
    <col min="23" max="23" width="18.1796875" style="9" bestFit="1" customWidth="1"/>
    <col min="24" max="24" width="12.81640625" style="9" bestFit="1" customWidth="1"/>
    <col min="25" max="25" width="10.1796875" style="9" bestFit="1" customWidth="1"/>
    <col min="26" max="26" width="9.54296875" style="9" bestFit="1" customWidth="1"/>
    <col min="27" max="27" width="11.26953125" style="9" bestFit="1" customWidth="1"/>
    <col min="28" max="28" width="14.26953125" style="9" bestFit="1" customWidth="1"/>
    <col min="29" max="30" width="16.7265625" style="9" customWidth="1"/>
    <col min="31" max="31" width="4.81640625" style="9" customWidth="1"/>
    <col min="32" max="32" width="8.81640625" style="9"/>
    <col min="33" max="34" width="19.26953125" style="9" customWidth="1"/>
    <col min="35" max="48" width="8.81640625" style="9"/>
    <col min="49" max="49" width="12.26953125" style="9" bestFit="1" customWidth="1"/>
    <col min="50" max="16384" width="8.81640625" style="9"/>
  </cols>
  <sheetData>
    <row r="1" spans="2:30" ht="23.5">
      <c r="B1" s="20" t="s">
        <v>516</v>
      </c>
      <c r="C1" s="20"/>
    </row>
    <row r="2" spans="2:30">
      <c r="B2" s="40" t="s">
        <v>86</v>
      </c>
      <c r="L2" s="35" t="s">
        <v>13</v>
      </c>
      <c r="M2" s="35"/>
      <c r="N2" s="36"/>
      <c r="O2" s="36"/>
      <c r="P2" s="36"/>
      <c r="Q2" s="36"/>
      <c r="R2" s="36"/>
      <c r="S2" s="36"/>
      <c r="T2" s="36"/>
      <c r="AD2" s="14"/>
    </row>
    <row r="3" spans="2:30" ht="15" thickBot="1">
      <c r="B3" s="21" t="s">
        <v>4</v>
      </c>
      <c r="C3" s="41" t="s">
        <v>123</v>
      </c>
      <c r="D3" s="21" t="s">
        <v>22</v>
      </c>
      <c r="E3" s="21" t="s">
        <v>23</v>
      </c>
      <c r="F3" s="21" t="s">
        <v>156</v>
      </c>
      <c r="G3" s="21" t="s">
        <v>87</v>
      </c>
      <c r="H3" s="21" t="s">
        <v>142</v>
      </c>
      <c r="I3" s="21" t="s">
        <v>29</v>
      </c>
      <c r="J3" s="21" t="s">
        <v>124</v>
      </c>
      <c r="L3" s="21" t="s">
        <v>14</v>
      </c>
      <c r="M3" s="21" t="s">
        <v>520</v>
      </c>
      <c r="N3" s="21" t="s">
        <v>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V3" s="609" t="s">
        <v>378</v>
      </c>
      <c r="W3" s="609" t="s">
        <v>160</v>
      </c>
      <c r="X3" s="609" t="s">
        <v>81</v>
      </c>
      <c r="Y3" s="609" t="s">
        <v>498</v>
      </c>
      <c r="Z3" s="609" t="s">
        <v>499</v>
      </c>
      <c r="AA3" s="609" t="s">
        <v>500</v>
      </c>
      <c r="AB3" s="609" t="s">
        <v>501</v>
      </c>
      <c r="AC3" s="49" t="s">
        <v>77</v>
      </c>
      <c r="AD3" s="135"/>
    </row>
    <row r="4" spans="2:30" ht="52.5" thickBot="1">
      <c r="B4" s="39" t="s">
        <v>125</v>
      </c>
      <c r="C4" s="39" t="s">
        <v>89</v>
      </c>
      <c r="D4" s="39" t="s">
        <v>126</v>
      </c>
      <c r="E4" s="39" t="s">
        <v>127</v>
      </c>
      <c r="F4" s="39" t="s">
        <v>588</v>
      </c>
      <c r="G4" s="39" t="s">
        <v>129</v>
      </c>
      <c r="H4" s="39" t="s">
        <v>128</v>
      </c>
      <c r="I4" s="39" t="s">
        <v>136</v>
      </c>
      <c r="J4" s="39" t="s">
        <v>130</v>
      </c>
      <c r="L4" s="37" t="s">
        <v>115</v>
      </c>
      <c r="M4" s="37" t="s">
        <v>534</v>
      </c>
      <c r="N4" s="37" t="s">
        <v>116</v>
      </c>
      <c r="O4" s="37" t="s">
        <v>89</v>
      </c>
      <c r="P4" s="37" t="s">
        <v>117</v>
      </c>
      <c r="Q4" s="37" t="s">
        <v>118</v>
      </c>
      <c r="R4" s="37" t="s">
        <v>119</v>
      </c>
      <c r="S4" s="39" t="s">
        <v>120</v>
      </c>
      <c r="T4" s="39" t="s">
        <v>121</v>
      </c>
      <c r="V4" s="610"/>
      <c r="W4" s="610"/>
      <c r="X4" s="610"/>
      <c r="Y4" s="610"/>
      <c r="Z4" s="610"/>
      <c r="AA4" s="610"/>
      <c r="AB4" s="610"/>
      <c r="AC4" s="13" t="s">
        <v>146</v>
      </c>
      <c r="AD4" s="56" t="s">
        <v>502</v>
      </c>
    </row>
    <row r="5" spans="2:30">
      <c r="B5" s="42" t="s">
        <v>131</v>
      </c>
      <c r="C5" s="42"/>
      <c r="D5" s="42"/>
      <c r="E5" s="42"/>
      <c r="F5" s="42" t="str">
        <f>Q7</f>
        <v>GW</v>
      </c>
      <c r="G5" s="270" t="s">
        <v>508</v>
      </c>
      <c r="H5" s="42" t="s">
        <v>132</v>
      </c>
      <c r="I5" s="42" t="s">
        <v>138</v>
      </c>
      <c r="J5" s="42" t="s">
        <v>507</v>
      </c>
      <c r="L5" s="270" t="s">
        <v>496</v>
      </c>
      <c r="M5" s="42"/>
      <c r="N5" s="271"/>
      <c r="O5" s="271"/>
      <c r="P5" s="271"/>
      <c r="Q5" s="271"/>
      <c r="R5" s="271"/>
      <c r="S5" s="271"/>
      <c r="T5" s="271"/>
      <c r="V5" s="17"/>
      <c r="W5" s="17"/>
      <c r="X5" s="17"/>
      <c r="Y5" s="17"/>
      <c r="Z5" s="17"/>
      <c r="AA5" s="17"/>
      <c r="AB5" s="17"/>
      <c r="AC5" s="57" t="s">
        <v>46</v>
      </c>
      <c r="AD5" s="57" t="s">
        <v>46</v>
      </c>
    </row>
    <row r="6" spans="2:30" s="15" customFormat="1">
      <c r="B6" s="15" t="str">
        <f t="shared" ref="B6" si="0">IF($Y6="",L6,N6)</f>
        <v>*Commercial Services Data centers</v>
      </c>
      <c r="D6" s="264"/>
      <c r="F6" s="264"/>
      <c r="G6" s="43"/>
      <c r="H6" s="257"/>
      <c r="I6" s="282"/>
      <c r="J6" s="282"/>
      <c r="L6" s="15" t="str">
        <f>IF($Y6="","*"&amp;V7&amp;" "&amp;W7,"DMD")</f>
        <v>*Commercial Services Data centers</v>
      </c>
      <c r="M6" s="36"/>
      <c r="V6" s="15" t="str">
        <f>IF('Key Inputs'!A113="","",'Key Inputs'!A113)</f>
        <v/>
      </c>
      <c r="W6" s="15" t="str">
        <f>IF('Key Inputs'!B113="","",'Key Inputs'!B113)</f>
        <v/>
      </c>
      <c r="X6" s="15" t="str">
        <f>IF('Key Inputs'!C113="","",'Key Inputs'!C113)</f>
        <v/>
      </c>
      <c r="Y6" s="15" t="str">
        <f>IF('Key Inputs'!D113="","",'Key Inputs'!D113)</f>
        <v/>
      </c>
      <c r="Z6" s="15" t="str">
        <f>IF('Key Inputs'!E113="","",'Key Inputs'!E113)</f>
        <v/>
      </c>
      <c r="AC6" s="165" t="str">
        <f>IF($Y6="","",AD6/G6)</f>
        <v/>
      </c>
      <c r="AD6" s="165" t="str">
        <f>IF($Y6="","",F6*H6*J6)</f>
        <v/>
      </c>
    </row>
    <row r="7" spans="2:30">
      <c r="B7" s="34" t="str">
        <f>IF($Y7="",L7,N7)</f>
        <v>S-DCE-CS</v>
      </c>
      <c r="C7" s="14" t="str">
        <f>IF($Y7="","",O7)</f>
        <v>Commercial Services - Data centers</v>
      </c>
      <c r="D7" s="77" t="str">
        <f>IF($Y7="","",Z7)</f>
        <v>SRVELC</v>
      </c>
      <c r="E7" s="14" t="str">
        <f>IF($Y7="","",CONCATENATE(Legend!$C$4,AB7,"-",AA7))</f>
        <v>SRVDCE-CS</v>
      </c>
      <c r="F7" s="77">
        <f>IF($Y7="","",SUMIFS('Key Inputs'!$F$29:$F$114,'Key Inputs'!$A$29:$A$114,$V7,'Key Inputs'!$B$29:$B$114,$W7,'Key Inputs'!$C$29:$C$114,$X7))</f>
        <v>0.51</v>
      </c>
      <c r="G7" s="77">
        <f>IF($Y7="","",1)</f>
        <v>1</v>
      </c>
      <c r="H7" s="262">
        <f>IF($Y7="","",SUMIFS('Key Inputs'!$G$29:$G$114,'Key Inputs'!$A$29:$A$114,$V7,'Key Inputs'!$B$29:$B$114,$W7,'Key Inputs'!$C$29:$C$114,$X7))</f>
        <v>0.35</v>
      </c>
      <c r="I7" s="263">
        <f>IF($Y7="","",SUMIFS('Key Inputs'!$H$29:$H$114,'Key Inputs'!$A$29:$A$114,$V7,'Key Inputs'!$B$29:$B$114,$W7,'Key Inputs'!$C$29:$C$114,$X7))</f>
        <v>20</v>
      </c>
      <c r="J7" s="77">
        <f>IF($Y7="","",31.536)</f>
        <v>31.536000000000001</v>
      </c>
      <c r="L7" s="34" t="str">
        <f>IF($Y7="","*"&amp;V8&amp;" "&amp;W8,"DMD")</f>
        <v>DMD</v>
      </c>
      <c r="M7" s="46" t="str">
        <f>IF($AB7="","",_xlfn.TEXTJOIN(",",TRUE,IF(LEFT(Regions!$C$3,1)&lt;&gt;"*",Regions!$C$3,""),IF(LEFT(Regions!$D$3,1)&lt;&gt;"*",Regions!$D$3,"")))</f>
        <v>IE,National</v>
      </c>
      <c r="N7" s="14" t="str">
        <f>IF($Y7="","",CONCATENATE(LEFT(Legend!$C$4),"-",$AB7,"-",$AA7))</f>
        <v>S-DCE-CS</v>
      </c>
      <c r="O7" s="14" t="str">
        <f>IF($Y7="","",CONCATENATE(V7," - ",W7))</f>
        <v>Commercial Services - Data centers</v>
      </c>
      <c r="P7" s="14" t="str">
        <f>IF($Y7="","","PJ")</f>
        <v>PJ</v>
      </c>
      <c r="Q7" s="14" t="str">
        <f>IF($Y7="","","GW")</f>
        <v>GW</v>
      </c>
      <c r="R7" s="14" t="str">
        <f>IF($Y7="","","ANNUAL")</f>
        <v>ANNUAL</v>
      </c>
      <c r="S7" s="14"/>
      <c r="T7" s="14"/>
      <c r="V7" s="9" t="str">
        <f>IF('Key Inputs'!A114="","",'Key Inputs'!A114)</f>
        <v>Commercial Services</v>
      </c>
      <c r="W7" s="9" t="str">
        <f>IF('Key Inputs'!B114="","",'Key Inputs'!B114)</f>
        <v>Data centers</v>
      </c>
      <c r="X7" s="9" t="str">
        <f>IF('Key Inputs'!C114="","",'Key Inputs'!C114)</f>
        <v>Electricity</v>
      </c>
      <c r="Y7" s="9" t="str">
        <f>IF('Key Inputs'!D114="","",'Key Inputs'!D114)</f>
        <v>ELC</v>
      </c>
      <c r="Z7" s="9" t="str">
        <f>IF('Key Inputs'!E114="","",'Key Inputs'!E114)</f>
        <v>SRVELC</v>
      </c>
      <c r="AA7" s="9" t="str">
        <f>_xlfn.XLOOKUP(V7,Legend!$A$21:$A$22,Legend!$C$21:$C$22)</f>
        <v>CS</v>
      </c>
      <c r="AB7" s="9" t="str">
        <f>_xlfn.XLOOKUP(W7,Legend!$A$24:$A$34,Legend!$C$24:$C$34)</f>
        <v>DCE</v>
      </c>
      <c r="AC7" s="16">
        <f>IF($Y7="","",AD7/G7)</f>
        <v>5.6291760000000002</v>
      </c>
      <c r="AD7" s="16">
        <f>IF($Y7="","",F7*H7*J7)</f>
        <v>5.6291760000000002</v>
      </c>
    </row>
    <row r="8" spans="2:30">
      <c r="B8" s="27"/>
      <c r="D8" s="43"/>
      <c r="F8" s="43"/>
      <c r="G8" s="255"/>
      <c r="H8" s="255"/>
      <c r="I8" s="257"/>
      <c r="J8" s="51"/>
      <c r="L8" s="27"/>
      <c r="M8" s="27"/>
    </row>
    <row r="9" spans="2:30">
      <c r="B9" s="27"/>
      <c r="D9" s="43"/>
      <c r="E9" s="15" t="s">
        <v>510</v>
      </c>
      <c r="F9" s="264">
        <f>SUM(F6:F7)</f>
        <v>0.51</v>
      </c>
      <c r="G9" s="255"/>
      <c r="H9" s="255"/>
      <c r="I9" s="257"/>
      <c r="J9" s="51"/>
      <c r="L9" s="27"/>
      <c r="M9" s="27"/>
      <c r="AC9" s="165">
        <f>SUM(AC6:AC7)</f>
        <v>5.6291760000000002</v>
      </c>
      <c r="AD9" s="165">
        <f>SUM(AD6:AD7)</f>
        <v>5.6291760000000002</v>
      </c>
    </row>
    <row r="11" spans="2:30" ht="23.5">
      <c r="B11" s="47" t="s">
        <v>519</v>
      </c>
    </row>
    <row r="12" spans="2:30">
      <c r="D12" s="40" t="s">
        <v>86</v>
      </c>
    </row>
    <row r="13" spans="2:30" ht="15" thickBot="1">
      <c r="B13" s="21" t="s">
        <v>520</v>
      </c>
      <c r="C13" s="21" t="s">
        <v>7</v>
      </c>
      <c r="D13" s="21" t="s">
        <v>607</v>
      </c>
      <c r="E13" s="21">
        <v>2018</v>
      </c>
    </row>
    <row r="14" spans="2:30" ht="26">
      <c r="B14" s="39" t="s">
        <v>606</v>
      </c>
      <c r="C14" s="39" t="s">
        <v>517</v>
      </c>
      <c r="D14" s="39"/>
      <c r="E14" s="39" t="s">
        <v>147</v>
      </c>
    </row>
    <row r="15" spans="2:30">
      <c r="B15" s="42" t="s">
        <v>131</v>
      </c>
      <c r="C15" s="270"/>
      <c r="D15" s="42"/>
      <c r="E15" s="278" t="str">
        <f>P7</f>
        <v>PJ</v>
      </c>
    </row>
    <row r="16" spans="2:30">
      <c r="B16" s="44" t="str">
        <f>_xlfn.TEXTJOIN(",",TRUE,IF(LEFT(Regions!$C$3,1)&lt;&gt;"*",Regions!$C$3,""),IF(LEFT(Regions!$D$3,1)&lt;&gt;"*",Regions!$D$3,""))</f>
        <v>IE,National</v>
      </c>
      <c r="C16" s="283" t="str">
        <f>E7</f>
        <v>SRVDCE-CS</v>
      </c>
      <c r="D16" s="283" t="s">
        <v>139</v>
      </c>
      <c r="E16" s="284">
        <f>$AD$9</f>
        <v>5.6291760000000002</v>
      </c>
    </row>
  </sheetData>
  <mergeCells count="7">
    <mergeCell ref="AB3:AB4"/>
    <mergeCell ref="V3:V4"/>
    <mergeCell ref="W3:W4"/>
    <mergeCell ref="X3:X4"/>
    <mergeCell ref="Y3:Y4"/>
    <mergeCell ref="Z3:Z4"/>
    <mergeCell ref="AA3:AA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9" tint="0.59999389629810485"/>
  </sheetPr>
  <dimension ref="B1:H19"/>
  <sheetViews>
    <sheetView zoomScaleNormal="100" workbookViewId="0">
      <selection activeCell="I18" sqref="I18"/>
    </sheetView>
  </sheetViews>
  <sheetFormatPr defaultColWidth="8.81640625" defaultRowHeight="14.5"/>
  <cols>
    <col min="1" max="1" width="2.453125" style="9" customWidth="1"/>
    <col min="2" max="8" width="14.81640625" style="9" customWidth="1"/>
    <col min="9" max="19" width="11.26953125" style="9" customWidth="1"/>
    <col min="20" max="16384" width="8.81640625" style="9"/>
  </cols>
  <sheetData>
    <row r="1" spans="2:8" ht="23.5">
      <c r="B1" s="20" t="s">
        <v>78</v>
      </c>
    </row>
    <row r="2" spans="2:8">
      <c r="B2" s="40" t="s">
        <v>25</v>
      </c>
    </row>
    <row r="3" spans="2:8" ht="15" thickBot="1">
      <c r="B3" s="21" t="s">
        <v>7</v>
      </c>
      <c r="C3" s="21" t="str">
        <f>Commodities!D23</f>
        <v>SRVCOA</v>
      </c>
      <c r="D3" s="21" t="str">
        <f>Commodities!D24</f>
        <v>SRVLPG</v>
      </c>
      <c r="E3" s="21" t="str">
        <f>Commodities!D25</f>
        <v>SRVOIL</v>
      </c>
      <c r="F3" s="21" t="str">
        <f>Commodities!D26</f>
        <v>SRVGAS</v>
      </c>
      <c r="G3" s="21" t="str">
        <f>Commodities!D27</f>
        <v>SRVBIO</v>
      </c>
      <c r="H3" s="21" t="str">
        <f>Commodities!D29</f>
        <v>SRVSOL</v>
      </c>
    </row>
    <row r="4" spans="2:8" ht="26">
      <c r="B4" s="39" t="s">
        <v>150</v>
      </c>
      <c r="C4" s="59" t="str">
        <f>Commodities!E23</f>
        <v>Solids (SRV)</v>
      </c>
      <c r="D4" s="59" t="str">
        <f>Commodities!E24</f>
        <v>LPG (SRV)</v>
      </c>
      <c r="E4" s="59" t="str">
        <f>Commodities!E25</f>
        <v>Oil (SRV)</v>
      </c>
      <c r="F4" s="59" t="str">
        <f>Commodities!E26</f>
        <v>Natural Gas (SRV)</v>
      </c>
      <c r="G4" s="59" t="str">
        <f>Commodities!E27</f>
        <v>Biomass (SRV)</v>
      </c>
      <c r="H4" s="59" t="str">
        <f>Commodities!E29</f>
        <v>Solar (SRV)</v>
      </c>
    </row>
    <row r="5" spans="2:8">
      <c r="B5" s="42" t="s">
        <v>131</v>
      </c>
      <c r="C5" s="42" t="s">
        <v>151</v>
      </c>
      <c r="D5" s="42" t="s">
        <v>151</v>
      </c>
      <c r="E5" s="42" t="s">
        <v>151</v>
      </c>
      <c r="F5" s="42" t="s">
        <v>151</v>
      </c>
      <c r="G5" s="42" t="s">
        <v>151</v>
      </c>
      <c r="H5" s="42" t="s">
        <v>151</v>
      </c>
    </row>
    <row r="6" spans="2:8">
      <c r="B6" s="300" t="str">
        <f>Commodities!D38</f>
        <v>SRVCO2N</v>
      </c>
      <c r="C6" s="303">
        <v>94.6</v>
      </c>
      <c r="D6" s="303">
        <v>63.7</v>
      </c>
      <c r="E6" s="259">
        <f>SUMPRODUCT(C17:C19,'Fuel Techs'!F7:F9)</f>
        <v>73.306775998042497</v>
      </c>
      <c r="F6" s="303">
        <v>55.74</v>
      </c>
      <c r="G6" s="301">
        <v>0</v>
      </c>
      <c r="H6" s="301">
        <v>0</v>
      </c>
    </row>
    <row r="7" spans="2:8">
      <c r="B7" s="9" t="str">
        <f>Commodities!D39</f>
        <v>SRVCH4N</v>
      </c>
    </row>
    <row r="8" spans="2:8">
      <c r="B8" s="9" t="str">
        <f>Commodities!D40</f>
        <v>SRVSO2N</v>
      </c>
    </row>
    <row r="9" spans="2:8">
      <c r="B9" s="9" t="str">
        <f>Commodities!D41</f>
        <v>SRVNOXN</v>
      </c>
    </row>
    <row r="10" spans="2:8">
      <c r="B10" s="9" t="str">
        <f>Commodities!D42</f>
        <v>SRVPM10</v>
      </c>
    </row>
    <row r="11" spans="2:8">
      <c r="B11" s="14" t="str">
        <f>Commodities!D43</f>
        <v>SRVPM25</v>
      </c>
      <c r="C11" s="14"/>
      <c r="D11" s="14"/>
      <c r="E11" s="14"/>
      <c r="F11" s="14"/>
      <c r="G11" s="14"/>
      <c r="H11" s="14"/>
    </row>
    <row r="16" spans="2:8" ht="15" thickBot="1">
      <c r="B16" s="12" t="s">
        <v>151</v>
      </c>
      <c r="C16" s="12" t="str">
        <f>B6</f>
        <v>SRVCO2N</v>
      </c>
    </row>
    <row r="17" spans="2:3">
      <c r="B17" s="299" t="s">
        <v>548</v>
      </c>
      <c r="C17" s="302">
        <v>71.900000000000006</v>
      </c>
    </row>
    <row r="18" spans="2:3">
      <c r="B18" s="299" t="s">
        <v>579</v>
      </c>
      <c r="C18" s="302">
        <v>74.099999999999994</v>
      </c>
    </row>
    <row r="19" spans="2:3">
      <c r="B19" s="304" t="s">
        <v>580</v>
      </c>
      <c r="C19" s="298">
        <v>77.400000000000006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9206-7887-4D02-A319-B50A362EFDCE}">
  <sheetPr codeName="Sheet14">
    <tabColor theme="5" tint="0.59999389629810485"/>
    <pageSetUpPr fitToPage="1"/>
  </sheetPr>
  <dimension ref="A1:AS80"/>
  <sheetViews>
    <sheetView view="pageBreakPreview" zoomScaleNormal="65" zoomScaleSheetLayoutView="100" workbookViewId="0">
      <pane xSplit="2" ySplit="1" topLeftCell="N2" activePane="bottomRight" state="frozen"/>
      <selection activeCell="F22" sqref="F22"/>
      <selection pane="topRight" activeCell="F22" sqref="F22"/>
      <selection pane="bottomLeft" activeCell="F22" sqref="F22"/>
      <selection pane="bottomRight" activeCell="U53" sqref="U53"/>
    </sheetView>
  </sheetViews>
  <sheetFormatPr defaultColWidth="9.1796875" defaultRowHeight="13"/>
  <cols>
    <col min="1" max="1" width="38.1796875" style="85" customWidth="1"/>
    <col min="2" max="2" width="13" style="79" bestFit="1" customWidth="1"/>
    <col min="3" max="4" width="7.54296875" style="84" bestFit="1" customWidth="1"/>
    <col min="5" max="5" width="9.1796875" style="84"/>
    <col min="6" max="6" width="6.1796875" style="86" customWidth="1"/>
    <col min="7" max="7" width="5.81640625" style="86" bestFit="1" customWidth="1"/>
    <col min="8" max="8" width="6.453125" style="84" bestFit="1" customWidth="1"/>
    <col min="9" max="9" width="6.1796875" style="86" bestFit="1" customWidth="1"/>
    <col min="10" max="10" width="6" style="86" bestFit="1" customWidth="1"/>
    <col min="11" max="11" width="6.81640625" style="86" bestFit="1" customWidth="1"/>
    <col min="12" max="12" width="8.7265625" style="83" bestFit="1" customWidth="1"/>
    <col min="13" max="13" width="8.1796875" style="79" bestFit="1" customWidth="1"/>
    <col min="14" max="14" width="8.1796875" style="79" customWidth="1"/>
    <col min="15" max="15" width="5.26953125" style="79" customWidth="1"/>
    <col min="16" max="16" width="7.453125" style="79" customWidth="1"/>
    <col min="17" max="17" width="7.453125" style="79" bestFit="1" customWidth="1"/>
    <col min="18" max="18" width="8.1796875" style="79" bestFit="1" customWidth="1"/>
    <col min="19" max="19" width="7.26953125" style="79" bestFit="1" customWidth="1"/>
    <col min="20" max="20" width="7.453125" style="79" bestFit="1" customWidth="1"/>
    <col min="21" max="21" width="8.453125" style="79" bestFit="1" customWidth="1"/>
    <col min="22" max="22" width="6.81640625" style="79" bestFit="1" customWidth="1"/>
    <col min="23" max="25" width="5.453125" style="79" customWidth="1"/>
    <col min="26" max="26" width="5.453125" style="86" customWidth="1"/>
    <col min="27" max="27" width="8.1796875" style="83" bestFit="1" customWidth="1"/>
    <col min="28" max="28" width="6.7265625" style="83" bestFit="1" customWidth="1"/>
    <col min="29" max="30" width="5.54296875" style="79" customWidth="1"/>
    <col min="31" max="31" width="8.7265625" style="79" bestFit="1" customWidth="1"/>
    <col min="32" max="32" width="8.7265625" style="79" customWidth="1"/>
    <col min="33" max="33" width="5.54296875" style="79" customWidth="1"/>
    <col min="34" max="34" width="5.81640625" style="79" bestFit="1" customWidth="1"/>
    <col min="35" max="37" width="7" style="79" customWidth="1"/>
    <col min="38" max="40" width="5.54296875" style="79" customWidth="1"/>
    <col min="41" max="41" width="8.7265625" style="83" bestFit="1" customWidth="1"/>
    <col min="42" max="42" width="4.453125" style="83" bestFit="1" customWidth="1"/>
    <col min="43" max="43" width="9.26953125" style="79" bestFit="1" customWidth="1"/>
    <col min="44" max="44" width="9.1796875" style="79"/>
    <col min="45" max="45" width="9.1796875" style="81"/>
    <col min="46" max="16384" width="9.1796875" style="79"/>
  </cols>
  <sheetData>
    <row r="1" spans="1:45" ht="105.75" customHeight="1" thickBot="1">
      <c r="A1" s="324" t="s">
        <v>189</v>
      </c>
      <c r="B1" s="325" t="s">
        <v>190</v>
      </c>
      <c r="C1" s="326" t="s">
        <v>191</v>
      </c>
      <c r="D1" s="327" t="s">
        <v>192</v>
      </c>
      <c r="E1" s="328" t="s">
        <v>193</v>
      </c>
      <c r="F1" s="329" t="s">
        <v>194</v>
      </c>
      <c r="G1" s="329" t="s">
        <v>195</v>
      </c>
      <c r="H1" s="330" t="s">
        <v>196</v>
      </c>
      <c r="I1" s="327" t="s">
        <v>197</v>
      </c>
      <c r="J1" s="328" t="s">
        <v>198</v>
      </c>
      <c r="K1" s="328" t="s">
        <v>199</v>
      </c>
      <c r="L1" s="330" t="s">
        <v>200</v>
      </c>
      <c r="M1" s="327" t="s">
        <v>201</v>
      </c>
      <c r="N1" s="327" t="s">
        <v>202</v>
      </c>
      <c r="O1" s="328" t="s">
        <v>203</v>
      </c>
      <c r="P1" s="328" t="s">
        <v>204</v>
      </c>
      <c r="Q1" s="328" t="s">
        <v>205</v>
      </c>
      <c r="R1" s="328" t="s">
        <v>206</v>
      </c>
      <c r="S1" s="328" t="s">
        <v>207</v>
      </c>
      <c r="T1" s="328" t="s">
        <v>208</v>
      </c>
      <c r="U1" s="328" t="s">
        <v>209</v>
      </c>
      <c r="V1" s="328" t="s">
        <v>210</v>
      </c>
      <c r="W1" s="329" t="s">
        <v>211</v>
      </c>
      <c r="X1" s="329" t="s">
        <v>212</v>
      </c>
      <c r="Y1" s="329" t="s">
        <v>213</v>
      </c>
      <c r="Z1" s="328" t="s">
        <v>214</v>
      </c>
      <c r="AA1" s="330" t="s">
        <v>215</v>
      </c>
      <c r="AB1" s="331" t="s">
        <v>216</v>
      </c>
      <c r="AC1" s="332" t="s">
        <v>217</v>
      </c>
      <c r="AD1" s="328" t="s">
        <v>218</v>
      </c>
      <c r="AE1" s="328" t="s">
        <v>219</v>
      </c>
      <c r="AF1" s="328" t="s">
        <v>220</v>
      </c>
      <c r="AG1" s="328" t="s">
        <v>221</v>
      </c>
      <c r="AH1" s="328" t="s">
        <v>222</v>
      </c>
      <c r="AI1" s="328" t="s">
        <v>223</v>
      </c>
      <c r="AJ1" s="328" t="s">
        <v>224</v>
      </c>
      <c r="AK1" s="328" t="s">
        <v>225</v>
      </c>
      <c r="AL1" s="328" t="s">
        <v>226</v>
      </c>
      <c r="AM1" s="329" t="s">
        <v>227</v>
      </c>
      <c r="AN1" s="330" t="s">
        <v>228</v>
      </c>
      <c r="AO1" s="330" t="s">
        <v>229</v>
      </c>
      <c r="AP1" s="331" t="s">
        <v>230</v>
      </c>
      <c r="AQ1" s="333" t="s">
        <v>231</v>
      </c>
      <c r="AS1" s="80"/>
    </row>
    <row r="2" spans="1:45" ht="12.75" customHeight="1">
      <c r="A2" s="334" t="s">
        <v>232</v>
      </c>
      <c r="B2" s="335"/>
      <c r="C2" s="395">
        <v>0</v>
      </c>
      <c r="D2" s="396">
        <v>0</v>
      </c>
      <c r="E2" s="397"/>
      <c r="F2" s="398"/>
      <c r="G2" s="398"/>
      <c r="H2" s="399">
        <v>815.92434898628403</v>
      </c>
      <c r="I2" s="400">
        <v>688.22034898628408</v>
      </c>
      <c r="J2" s="401">
        <v>127.70399999999999</v>
      </c>
      <c r="K2" s="402"/>
      <c r="L2" s="399">
        <v>0</v>
      </c>
      <c r="M2" s="400"/>
      <c r="N2" s="403"/>
      <c r="O2" s="404"/>
      <c r="P2" s="404"/>
      <c r="Q2" s="404"/>
      <c r="R2" s="404"/>
      <c r="S2" s="404"/>
      <c r="T2" s="404"/>
      <c r="U2" s="404"/>
      <c r="V2" s="404"/>
      <c r="W2" s="398"/>
      <c r="X2" s="398"/>
      <c r="Y2" s="398"/>
      <c r="Z2" s="402"/>
      <c r="AA2" s="399">
        <v>2751.9191872187112</v>
      </c>
      <c r="AB2" s="405">
        <v>1334.8220354758096</v>
      </c>
      <c r="AC2" s="406">
        <v>59.691708987970003</v>
      </c>
      <c r="AD2" s="402">
        <v>743.01992281532614</v>
      </c>
      <c r="AE2" s="402">
        <v>248.90728456918018</v>
      </c>
      <c r="AF2" s="402">
        <v>139.99992739520798</v>
      </c>
      <c r="AG2" s="402">
        <v>33.531818868055431</v>
      </c>
      <c r="AH2" s="402">
        <v>16.813132576534866</v>
      </c>
      <c r="AI2" s="402">
        <v>31.064467987392003</v>
      </c>
      <c r="AJ2" s="402">
        <v>2.6691993220799999</v>
      </c>
      <c r="AK2" s="400">
        <v>1.5674556929599923</v>
      </c>
      <c r="AL2" s="400">
        <v>13.54608560366562</v>
      </c>
      <c r="AM2" s="398">
        <v>44.011031657437648</v>
      </c>
      <c r="AN2" s="407">
        <v>145.43710297949829</v>
      </c>
      <c r="AO2" s="407"/>
      <c r="AP2" s="405"/>
      <c r="AQ2" s="408">
        <v>5048.1026746603029</v>
      </c>
    </row>
    <row r="3" spans="1:45" ht="12.75" customHeight="1">
      <c r="A3" s="336" t="s">
        <v>233</v>
      </c>
      <c r="B3" s="337"/>
      <c r="C3" s="409">
        <v>903.49466255082825</v>
      </c>
      <c r="D3" s="410">
        <v>829.57460107090037</v>
      </c>
      <c r="E3" s="411">
        <v>61.722867734674637</v>
      </c>
      <c r="F3" s="412"/>
      <c r="G3" s="412">
        <v>12.197193745253209</v>
      </c>
      <c r="H3" s="413">
        <v>0</v>
      </c>
      <c r="I3" s="414"/>
      <c r="J3" s="415"/>
      <c r="K3" s="416"/>
      <c r="L3" s="413">
        <v>9138.5577999094057</v>
      </c>
      <c r="M3" s="414">
        <v>3053.4742963851995</v>
      </c>
      <c r="N3" s="414">
        <v>16.633377499200002</v>
      </c>
      <c r="O3" s="416">
        <v>0</v>
      </c>
      <c r="P3" s="416">
        <v>564.2364083333332</v>
      </c>
      <c r="Q3" s="416">
        <v>369.14638715136005</v>
      </c>
      <c r="R3" s="416">
        <v>1542.2444022448799</v>
      </c>
      <c r="S3" s="416">
        <v>82.827948630790956</v>
      </c>
      <c r="T3" s="416">
        <v>157.5463640726893</v>
      </c>
      <c r="U3" s="416">
        <v>2932.6955801163149</v>
      </c>
      <c r="V3" s="416">
        <v>166.37647928144222</v>
      </c>
      <c r="W3" s="412">
        <v>7.5616539426795564</v>
      </c>
      <c r="X3" s="412">
        <v>200.83222211696253</v>
      </c>
      <c r="Y3" s="412">
        <v>1.2281470084248403</v>
      </c>
      <c r="Z3" s="416">
        <v>43.754533126130625</v>
      </c>
      <c r="AA3" s="413">
        <v>1728.338063506957</v>
      </c>
      <c r="AB3" s="417">
        <v>151.93355907200862</v>
      </c>
      <c r="AC3" s="418"/>
      <c r="AD3" s="416"/>
      <c r="AE3" s="416">
        <v>24.282116302936618</v>
      </c>
      <c r="AF3" s="416"/>
      <c r="AG3" s="416"/>
      <c r="AH3" s="416"/>
      <c r="AI3" s="416">
        <v>104.81441230492801</v>
      </c>
      <c r="AJ3" s="416">
        <v>22.837030464144</v>
      </c>
      <c r="AK3" s="414"/>
      <c r="AL3" s="414"/>
      <c r="AM3" s="412"/>
      <c r="AN3" s="419"/>
      <c r="AO3" s="419">
        <v>139.45061680000001</v>
      </c>
      <c r="AP3" s="417"/>
      <c r="AQ3" s="420">
        <v>12061.7747018392</v>
      </c>
    </row>
    <row r="4" spans="1:45" ht="12.75" customHeight="1">
      <c r="A4" s="336" t="s">
        <v>234</v>
      </c>
      <c r="B4" s="337"/>
      <c r="C4" s="409">
        <v>15.186580890895996</v>
      </c>
      <c r="D4" s="410">
        <v>0</v>
      </c>
      <c r="E4" s="421">
        <v>14.097722161999997</v>
      </c>
      <c r="F4" s="412"/>
      <c r="G4" s="412">
        <v>1.0888587288959999</v>
      </c>
      <c r="H4" s="413">
        <v>7.0330680000000001</v>
      </c>
      <c r="I4" s="414"/>
      <c r="J4" s="415"/>
      <c r="K4" s="416">
        <v>7.0330680000000001</v>
      </c>
      <c r="L4" s="413">
        <v>1717.0624747879344</v>
      </c>
      <c r="M4" s="414">
        <v>0</v>
      </c>
      <c r="N4" s="414">
        <v>0</v>
      </c>
      <c r="O4" s="416"/>
      <c r="P4" s="416">
        <v>364.52221864444448</v>
      </c>
      <c r="Q4" s="416">
        <v>21.672508399360005</v>
      </c>
      <c r="R4" s="416">
        <v>156.29379915984001</v>
      </c>
      <c r="S4" s="416">
        <v>986.60611760112999</v>
      </c>
      <c r="T4" s="416">
        <v>35.289733288720633</v>
      </c>
      <c r="U4" s="416">
        <v>102.14625414775992</v>
      </c>
      <c r="V4" s="416">
        <v>2.9088437938490893E-3</v>
      </c>
      <c r="W4" s="412">
        <v>36.297317128453038</v>
      </c>
      <c r="X4" s="412">
        <v>5.4694689952000006</v>
      </c>
      <c r="Y4" s="412">
        <v>1.8500297569930473E-2</v>
      </c>
      <c r="Z4" s="416">
        <v>8.7436482816626366</v>
      </c>
      <c r="AA4" s="413">
        <v>0</v>
      </c>
      <c r="AB4" s="417">
        <v>9.4476585178560004</v>
      </c>
      <c r="AC4" s="418"/>
      <c r="AD4" s="416"/>
      <c r="AE4" s="416">
        <v>0.41264639999999991</v>
      </c>
      <c r="AF4" s="416"/>
      <c r="AG4" s="416"/>
      <c r="AH4" s="416"/>
      <c r="AI4" s="416">
        <v>9.0350121178560006</v>
      </c>
      <c r="AJ4" s="416">
        <v>0</v>
      </c>
      <c r="AK4" s="414"/>
      <c r="AL4" s="414"/>
      <c r="AM4" s="412"/>
      <c r="AN4" s="419"/>
      <c r="AO4" s="419">
        <v>141.83539077999998</v>
      </c>
      <c r="AP4" s="417"/>
      <c r="AQ4" s="420">
        <v>1890.5651729766864</v>
      </c>
    </row>
    <row r="5" spans="1:45" ht="12.75" customHeight="1">
      <c r="A5" s="336" t="s">
        <v>235</v>
      </c>
      <c r="B5" s="337"/>
      <c r="C5" s="409">
        <v>0</v>
      </c>
      <c r="D5" s="410"/>
      <c r="E5" s="421"/>
      <c r="F5" s="412"/>
      <c r="G5" s="412"/>
      <c r="H5" s="413">
        <v>0</v>
      </c>
      <c r="I5" s="414"/>
      <c r="J5" s="415"/>
      <c r="K5" s="416"/>
      <c r="L5" s="413">
        <v>172.71258946798309</v>
      </c>
      <c r="M5" s="414"/>
      <c r="N5" s="414"/>
      <c r="O5" s="416"/>
      <c r="P5" s="416"/>
      <c r="Q5" s="416"/>
      <c r="R5" s="416"/>
      <c r="S5" s="416">
        <v>15.730078096892656</v>
      </c>
      <c r="T5" s="416"/>
      <c r="U5" s="416">
        <v>156.98251137109042</v>
      </c>
      <c r="V5" s="416"/>
      <c r="W5" s="412"/>
      <c r="X5" s="412"/>
      <c r="Y5" s="412"/>
      <c r="Z5" s="416"/>
      <c r="AA5" s="413"/>
      <c r="AB5" s="417">
        <v>0</v>
      </c>
      <c r="AC5" s="418"/>
      <c r="AD5" s="416"/>
      <c r="AE5" s="416"/>
      <c r="AF5" s="416"/>
      <c r="AG5" s="416"/>
      <c r="AH5" s="416"/>
      <c r="AI5" s="416"/>
      <c r="AJ5" s="416"/>
      <c r="AK5" s="414"/>
      <c r="AL5" s="414"/>
      <c r="AM5" s="412"/>
      <c r="AN5" s="419"/>
      <c r="AO5" s="419"/>
      <c r="AP5" s="417"/>
      <c r="AQ5" s="420">
        <v>172.71258946798309</v>
      </c>
    </row>
    <row r="6" spans="1:45" ht="12.75" customHeight="1" thickBot="1">
      <c r="A6" s="338" t="s">
        <v>236</v>
      </c>
      <c r="B6" s="339"/>
      <c r="C6" s="409">
        <v>-101.25634942971132</v>
      </c>
      <c r="D6" s="422">
        <v>-101.869888772661</v>
      </c>
      <c r="E6" s="412">
        <v>-0.80797667272355533</v>
      </c>
      <c r="F6" s="423"/>
      <c r="G6" s="423">
        <v>1.4215160156732278</v>
      </c>
      <c r="H6" s="424">
        <v>-122.93905189963694</v>
      </c>
      <c r="I6" s="425">
        <v>-136.53826589963694</v>
      </c>
      <c r="J6" s="426">
        <v>0</v>
      </c>
      <c r="K6" s="425">
        <v>13.599214000000003</v>
      </c>
      <c r="L6" s="424">
        <v>137.25717980152902</v>
      </c>
      <c r="M6" s="414">
        <v>38.730964773999993</v>
      </c>
      <c r="N6" s="414">
        <v>-8.8751519999999999</v>
      </c>
      <c r="O6" s="416"/>
      <c r="P6" s="416">
        <v>-9.6980083333333713</v>
      </c>
      <c r="Q6" s="416">
        <v>-1.1994301446400024</v>
      </c>
      <c r="R6" s="416">
        <v>82.12024884504001</v>
      </c>
      <c r="S6" s="416">
        <v>23.637599999999999</v>
      </c>
      <c r="T6" s="416">
        <v>1.4659197380156652</v>
      </c>
      <c r="U6" s="416">
        <v>8.3874136006762399</v>
      </c>
      <c r="V6" s="416">
        <v>3.2040911090632966</v>
      </c>
      <c r="W6" s="423">
        <v>-0.51646778729281662</v>
      </c>
      <c r="X6" s="423">
        <v>0</v>
      </c>
      <c r="Y6" s="423">
        <v>0</v>
      </c>
      <c r="Z6" s="425">
        <v>0</v>
      </c>
      <c r="AA6" s="424">
        <v>0</v>
      </c>
      <c r="AB6" s="427">
        <v>4.4601014379600006</v>
      </c>
      <c r="AC6" s="428"/>
      <c r="AD6" s="429"/>
      <c r="AE6" s="429">
        <v>0.26707427819999968</v>
      </c>
      <c r="AF6" s="429"/>
      <c r="AG6" s="429"/>
      <c r="AH6" s="429"/>
      <c r="AI6" s="429">
        <v>1.7828522013120007</v>
      </c>
      <c r="AJ6" s="429">
        <v>2.4101749584479997</v>
      </c>
      <c r="AK6" s="425"/>
      <c r="AL6" s="425"/>
      <c r="AM6" s="423"/>
      <c r="AN6" s="430"/>
      <c r="AO6" s="430"/>
      <c r="AP6" s="427"/>
      <c r="AQ6" s="431">
        <v>-82.478120089859246</v>
      </c>
    </row>
    <row r="7" spans="1:45" s="83" customFormat="1" ht="12.75" customHeight="1">
      <c r="A7" s="340" t="s">
        <v>237</v>
      </c>
      <c r="B7" s="341"/>
      <c r="C7" s="432">
        <v>787.05173223022086</v>
      </c>
      <c r="D7" s="433">
        <v>727.70471229823943</v>
      </c>
      <c r="E7" s="434">
        <v>46.817168899951085</v>
      </c>
      <c r="F7" s="434">
        <v>0</v>
      </c>
      <c r="G7" s="434">
        <v>12.529851032030438</v>
      </c>
      <c r="H7" s="435">
        <v>685.95222908664709</v>
      </c>
      <c r="I7" s="433">
        <v>551.68208308664714</v>
      </c>
      <c r="J7" s="436">
        <v>127.70399999999999</v>
      </c>
      <c r="K7" s="434">
        <v>6.5661460000000034</v>
      </c>
      <c r="L7" s="435">
        <v>7386.0399154550169</v>
      </c>
      <c r="M7" s="433">
        <v>3092.2052611591994</v>
      </c>
      <c r="N7" s="433">
        <v>7.7582254992000017</v>
      </c>
      <c r="O7" s="434">
        <v>0</v>
      </c>
      <c r="P7" s="434">
        <v>190.01618135555535</v>
      </c>
      <c r="Q7" s="434">
        <v>346.27444860736</v>
      </c>
      <c r="R7" s="434">
        <v>1468.0708519300797</v>
      </c>
      <c r="S7" s="434">
        <v>-895.87064706723163</v>
      </c>
      <c r="T7" s="434">
        <v>123.72255052198433</v>
      </c>
      <c r="U7" s="434">
        <v>2681.9542281981408</v>
      </c>
      <c r="V7" s="434">
        <v>169.57766154671165</v>
      </c>
      <c r="W7" s="434">
        <v>-29.252130973066301</v>
      </c>
      <c r="X7" s="434">
        <v>195.36275312176252</v>
      </c>
      <c r="Y7" s="434">
        <v>1.2096467108549098</v>
      </c>
      <c r="Z7" s="434">
        <v>35.010884844467988</v>
      </c>
      <c r="AA7" s="435">
        <v>4480.2572507256682</v>
      </c>
      <c r="AB7" s="435">
        <v>1481.7680374679221</v>
      </c>
      <c r="AC7" s="433">
        <v>59.691708987970003</v>
      </c>
      <c r="AD7" s="434">
        <v>743.01992281532614</v>
      </c>
      <c r="AE7" s="434">
        <v>273.04382875031678</v>
      </c>
      <c r="AF7" s="434">
        <v>139.99992739520798</v>
      </c>
      <c r="AG7" s="434">
        <v>33.531818868055431</v>
      </c>
      <c r="AH7" s="434">
        <v>16.813132576534866</v>
      </c>
      <c r="AI7" s="434">
        <v>128.62672037577602</v>
      </c>
      <c r="AJ7" s="434">
        <v>27.916404744672001</v>
      </c>
      <c r="AK7" s="437">
        <v>1.5674556929599923</v>
      </c>
      <c r="AL7" s="437">
        <v>13.54608560366562</v>
      </c>
      <c r="AM7" s="433">
        <v>44.011031657437648</v>
      </c>
      <c r="AN7" s="435">
        <v>145.43710297949829</v>
      </c>
      <c r="AO7" s="435">
        <v>-2.3847739799999772</v>
      </c>
      <c r="AP7" s="438">
        <v>0</v>
      </c>
      <c r="AQ7" s="439">
        <v>14964.121493964973</v>
      </c>
      <c r="AR7" s="79"/>
      <c r="AS7" s="82"/>
    </row>
    <row r="8" spans="1:45" s="83" customFormat="1" ht="12.75" customHeight="1" thickBot="1">
      <c r="A8" s="342" t="s">
        <v>238</v>
      </c>
      <c r="B8" s="343"/>
      <c r="C8" s="440">
        <v>787.05173223022086</v>
      </c>
      <c r="D8" s="441">
        <v>727.70471229823943</v>
      </c>
      <c r="E8" s="442">
        <v>46.817168899951085</v>
      </c>
      <c r="F8" s="443">
        <v>0</v>
      </c>
      <c r="G8" s="443">
        <v>12.529851032030438</v>
      </c>
      <c r="H8" s="444">
        <v>685.95222908664709</v>
      </c>
      <c r="I8" s="441">
        <v>551.68208308664714</v>
      </c>
      <c r="J8" s="445">
        <v>127.70399999999999</v>
      </c>
      <c r="K8" s="442">
        <v>6.5661460000000034</v>
      </c>
      <c r="L8" s="444">
        <v>7154.4566307779314</v>
      </c>
      <c r="M8" s="441">
        <v>3092.2052611591994</v>
      </c>
      <c r="N8" s="441">
        <v>7.7582254992000017</v>
      </c>
      <c r="O8" s="442">
        <v>0</v>
      </c>
      <c r="P8" s="442">
        <v>190.01618135555535</v>
      </c>
      <c r="Q8" s="442">
        <v>346.27444860736</v>
      </c>
      <c r="R8" s="442">
        <v>1468.0708519300797</v>
      </c>
      <c r="S8" s="442">
        <v>-895.87064706723163</v>
      </c>
      <c r="T8" s="442">
        <v>123.72255052198433</v>
      </c>
      <c r="U8" s="442">
        <v>2681.9542281981408</v>
      </c>
      <c r="V8" s="442">
        <v>169.57766154671165</v>
      </c>
      <c r="W8" s="443">
        <v>-29.252130973066301</v>
      </c>
      <c r="X8" s="443">
        <v>0</v>
      </c>
      <c r="Y8" s="443">
        <v>0</v>
      </c>
      <c r="Z8" s="442">
        <v>0</v>
      </c>
      <c r="AA8" s="444">
        <v>4480.2572507256682</v>
      </c>
      <c r="AB8" s="446">
        <v>1481.7680374679221</v>
      </c>
      <c r="AC8" s="441">
        <v>59.691708987970003</v>
      </c>
      <c r="AD8" s="442">
        <v>743.01992281532614</v>
      </c>
      <c r="AE8" s="442">
        <v>273.04382875031678</v>
      </c>
      <c r="AF8" s="442">
        <v>139.99992739520798</v>
      </c>
      <c r="AG8" s="442">
        <v>33.531818868055431</v>
      </c>
      <c r="AH8" s="442">
        <v>16.813132576534866</v>
      </c>
      <c r="AI8" s="442">
        <v>128.62672037577602</v>
      </c>
      <c r="AJ8" s="442">
        <v>27.916404744672001</v>
      </c>
      <c r="AK8" s="447">
        <v>1.5674556929599923</v>
      </c>
      <c r="AL8" s="447">
        <v>13.54608560366562</v>
      </c>
      <c r="AM8" s="441">
        <v>44.011031657437648</v>
      </c>
      <c r="AN8" s="444">
        <v>145.43710297949829</v>
      </c>
      <c r="AO8" s="444">
        <v>-2.3847739799999772</v>
      </c>
      <c r="AP8" s="441">
        <v>0</v>
      </c>
      <c r="AQ8" s="448">
        <v>14732.538209287888</v>
      </c>
      <c r="AR8" s="79"/>
      <c r="AS8" s="82"/>
    </row>
    <row r="9" spans="1:45" s="83" customFormat="1" ht="12.75" customHeight="1">
      <c r="A9" s="340" t="s">
        <v>239</v>
      </c>
      <c r="B9" s="341"/>
      <c r="C9" s="432">
        <v>489.13419536754503</v>
      </c>
      <c r="D9" s="437">
        <v>489.13419536754503</v>
      </c>
      <c r="E9" s="434">
        <v>0</v>
      </c>
      <c r="F9" s="449">
        <v>0</v>
      </c>
      <c r="G9" s="449">
        <v>0</v>
      </c>
      <c r="H9" s="435">
        <v>541.02658367795425</v>
      </c>
      <c r="I9" s="437">
        <v>541.02658367795425</v>
      </c>
      <c r="J9" s="436">
        <v>0</v>
      </c>
      <c r="K9" s="434">
        <v>0</v>
      </c>
      <c r="L9" s="435">
        <v>3165.7216476484605</v>
      </c>
      <c r="M9" s="434">
        <v>3092.2052611591994</v>
      </c>
      <c r="N9" s="434">
        <v>38.786602361842682</v>
      </c>
      <c r="O9" s="434">
        <v>0</v>
      </c>
      <c r="P9" s="434">
        <v>0</v>
      </c>
      <c r="Q9" s="434">
        <v>0</v>
      </c>
      <c r="R9" s="434">
        <v>0</v>
      </c>
      <c r="S9" s="434">
        <v>25.868327226603597</v>
      </c>
      <c r="T9" s="434">
        <v>0.63499472294399995</v>
      </c>
      <c r="U9" s="434">
        <v>8.2264621778709284</v>
      </c>
      <c r="V9" s="434">
        <v>0</v>
      </c>
      <c r="W9" s="449">
        <v>0</v>
      </c>
      <c r="X9" s="449">
        <v>0</v>
      </c>
      <c r="Y9" s="449">
        <v>0</v>
      </c>
      <c r="Z9" s="434">
        <v>0</v>
      </c>
      <c r="AA9" s="435">
        <v>2501.2994242635782</v>
      </c>
      <c r="AB9" s="433">
        <v>215.90352917717644</v>
      </c>
      <c r="AC9" s="450">
        <v>0</v>
      </c>
      <c r="AD9" s="434">
        <v>0</v>
      </c>
      <c r="AE9" s="434">
        <v>76.028615684916531</v>
      </c>
      <c r="AF9" s="434">
        <v>99.30702317107577</v>
      </c>
      <c r="AG9" s="434">
        <v>33.531818868055431</v>
      </c>
      <c r="AH9" s="434">
        <v>7.0360714531287174</v>
      </c>
      <c r="AI9" s="434">
        <v>0</v>
      </c>
      <c r="AJ9" s="434">
        <v>0</v>
      </c>
      <c r="AK9" s="437">
        <v>0</v>
      </c>
      <c r="AL9" s="437">
        <v>0</v>
      </c>
      <c r="AM9" s="449">
        <v>0</v>
      </c>
      <c r="AN9" s="435">
        <v>90.714163374524205</v>
      </c>
      <c r="AO9" s="435">
        <v>54.38453208</v>
      </c>
      <c r="AP9" s="433">
        <v>0</v>
      </c>
      <c r="AQ9" s="451">
        <v>7058.184075589239</v>
      </c>
      <c r="AR9" s="79"/>
      <c r="AS9" s="82"/>
    </row>
    <row r="10" spans="1:45" ht="12.75" customHeight="1">
      <c r="A10" s="344" t="s">
        <v>609</v>
      </c>
      <c r="B10" s="345"/>
      <c r="C10" s="452">
        <v>489.13419536754503</v>
      </c>
      <c r="D10" s="453">
        <v>489.13419536754503</v>
      </c>
      <c r="E10" s="454"/>
      <c r="F10" s="455"/>
      <c r="G10" s="455"/>
      <c r="H10" s="456">
        <v>467.10845991760607</v>
      </c>
      <c r="I10" s="453">
        <v>467.10845991760607</v>
      </c>
      <c r="J10" s="457">
        <v>0</v>
      </c>
      <c r="K10" s="454"/>
      <c r="L10" s="456">
        <v>34.094789404474525</v>
      </c>
      <c r="M10" s="454"/>
      <c r="N10" s="454"/>
      <c r="O10" s="454"/>
      <c r="P10" s="454"/>
      <c r="Q10" s="454"/>
      <c r="R10" s="454"/>
      <c r="S10" s="454">
        <v>25.868327226603597</v>
      </c>
      <c r="T10" s="454"/>
      <c r="U10" s="454">
        <v>8.2264621778709284</v>
      </c>
      <c r="V10" s="454"/>
      <c r="W10" s="455"/>
      <c r="X10" s="455"/>
      <c r="Y10" s="455"/>
      <c r="Z10" s="454"/>
      <c r="AA10" s="456">
        <v>2187.6033883210698</v>
      </c>
      <c r="AB10" s="458">
        <v>205.30590173319058</v>
      </c>
      <c r="AC10" s="459"/>
      <c r="AD10" s="454"/>
      <c r="AE10" s="454">
        <v>72.467059694059387</v>
      </c>
      <c r="AF10" s="454">
        <v>99.30702317107577</v>
      </c>
      <c r="AG10" s="454">
        <v>33.531818868055431</v>
      </c>
      <c r="AH10" s="454"/>
      <c r="AI10" s="454"/>
      <c r="AJ10" s="454"/>
      <c r="AK10" s="453"/>
      <c r="AL10" s="453"/>
      <c r="AM10" s="455"/>
      <c r="AN10" s="460">
        <v>90.714163374524205</v>
      </c>
      <c r="AO10" s="456"/>
      <c r="AP10" s="458"/>
      <c r="AQ10" s="461">
        <v>3473.9608981184101</v>
      </c>
    </row>
    <row r="11" spans="1:45" ht="12.75" customHeight="1">
      <c r="A11" s="336" t="s">
        <v>610</v>
      </c>
      <c r="B11" s="337"/>
      <c r="C11" s="409">
        <v>0</v>
      </c>
      <c r="D11" s="414">
        <v>0</v>
      </c>
      <c r="E11" s="416"/>
      <c r="F11" s="412"/>
      <c r="G11" s="412"/>
      <c r="H11" s="413">
        <v>5.8425469182429177</v>
      </c>
      <c r="I11" s="414">
        <v>5.8425469182429177</v>
      </c>
      <c r="J11" s="415"/>
      <c r="K11" s="416"/>
      <c r="L11" s="413">
        <v>0.63499472294399995</v>
      </c>
      <c r="M11" s="416"/>
      <c r="N11" s="462"/>
      <c r="O11" s="462">
        <v>0</v>
      </c>
      <c r="P11" s="416"/>
      <c r="Q11" s="416"/>
      <c r="R11" s="416"/>
      <c r="S11" s="416">
        <v>0</v>
      </c>
      <c r="T11" s="416">
        <v>0.63499472294399995</v>
      </c>
      <c r="U11" s="416">
        <v>0</v>
      </c>
      <c r="V11" s="416"/>
      <c r="W11" s="412"/>
      <c r="X11" s="412"/>
      <c r="Y11" s="412"/>
      <c r="Z11" s="416"/>
      <c r="AA11" s="413">
        <v>272.96145103491432</v>
      </c>
      <c r="AB11" s="417">
        <v>10.597627443985861</v>
      </c>
      <c r="AC11" s="418"/>
      <c r="AD11" s="416"/>
      <c r="AE11" s="416">
        <v>3.5615559908571428</v>
      </c>
      <c r="AF11" s="416"/>
      <c r="AG11" s="416"/>
      <c r="AH11" s="416">
        <v>7.0360714531287174</v>
      </c>
      <c r="AI11" s="416"/>
      <c r="AJ11" s="416"/>
      <c r="AK11" s="414"/>
      <c r="AL11" s="414"/>
      <c r="AM11" s="412"/>
      <c r="AN11" s="419"/>
      <c r="AO11" s="419"/>
      <c r="AP11" s="417"/>
      <c r="AQ11" s="420">
        <v>290.03662012008709</v>
      </c>
    </row>
    <row r="12" spans="1:45" ht="12.75" customHeight="1">
      <c r="A12" s="336" t="s">
        <v>611</v>
      </c>
      <c r="B12" s="337"/>
      <c r="C12" s="409"/>
      <c r="D12" s="414"/>
      <c r="E12" s="416"/>
      <c r="F12" s="412"/>
      <c r="G12" s="412"/>
      <c r="H12" s="413"/>
      <c r="I12" s="414"/>
      <c r="J12" s="415"/>
      <c r="K12" s="416"/>
      <c r="L12" s="413"/>
      <c r="M12" s="416"/>
      <c r="N12" s="462"/>
      <c r="O12" s="462"/>
      <c r="P12" s="416"/>
      <c r="Q12" s="416"/>
      <c r="R12" s="416"/>
      <c r="S12" s="416"/>
      <c r="T12" s="416"/>
      <c r="U12" s="416"/>
      <c r="V12" s="416"/>
      <c r="W12" s="412"/>
      <c r="X12" s="412"/>
      <c r="Y12" s="412"/>
      <c r="Z12" s="416"/>
      <c r="AA12" s="413"/>
      <c r="AB12" s="417"/>
      <c r="AC12" s="418"/>
      <c r="AD12" s="416"/>
      <c r="AE12" s="416"/>
      <c r="AF12" s="416"/>
      <c r="AG12" s="416"/>
      <c r="AH12" s="416"/>
      <c r="AI12" s="416"/>
      <c r="AJ12" s="416"/>
      <c r="AK12" s="414"/>
      <c r="AL12" s="414"/>
      <c r="AM12" s="412"/>
      <c r="AN12" s="419"/>
      <c r="AO12" s="419">
        <v>42.942060079999997</v>
      </c>
      <c r="AP12" s="417"/>
      <c r="AQ12" s="420">
        <v>42.942060079999997</v>
      </c>
    </row>
    <row r="13" spans="1:45" ht="12.75" customHeight="1">
      <c r="A13" s="336" t="s">
        <v>612</v>
      </c>
      <c r="B13" s="337"/>
      <c r="C13" s="409">
        <v>0</v>
      </c>
      <c r="D13" s="414"/>
      <c r="E13" s="412"/>
      <c r="F13" s="412"/>
      <c r="G13" s="412"/>
      <c r="H13" s="413">
        <v>68.075576842105264</v>
      </c>
      <c r="I13" s="414">
        <v>68.075576842105264</v>
      </c>
      <c r="J13" s="415"/>
      <c r="K13" s="416"/>
      <c r="L13" s="413">
        <v>0</v>
      </c>
      <c r="M13" s="416"/>
      <c r="N13" s="416"/>
      <c r="O13" s="416"/>
      <c r="P13" s="416"/>
      <c r="Q13" s="416"/>
      <c r="R13" s="416"/>
      <c r="S13" s="416"/>
      <c r="T13" s="416"/>
      <c r="U13" s="416"/>
      <c r="V13" s="416"/>
      <c r="W13" s="412"/>
      <c r="X13" s="412"/>
      <c r="Y13" s="412"/>
      <c r="Z13" s="416"/>
      <c r="AA13" s="413"/>
      <c r="AB13" s="417">
        <v>0</v>
      </c>
      <c r="AC13" s="418"/>
      <c r="AD13" s="416"/>
      <c r="AE13" s="416"/>
      <c r="AF13" s="416"/>
      <c r="AG13" s="416"/>
      <c r="AH13" s="416"/>
      <c r="AI13" s="416"/>
      <c r="AJ13" s="416"/>
      <c r="AK13" s="414"/>
      <c r="AL13" s="414"/>
      <c r="AM13" s="412"/>
      <c r="AN13" s="419"/>
      <c r="AO13" s="419"/>
      <c r="AP13" s="417"/>
      <c r="AQ13" s="420">
        <v>68.075576842105264</v>
      </c>
    </row>
    <row r="14" spans="1:45" ht="12.75" customHeight="1">
      <c r="A14" s="346" t="s">
        <v>613</v>
      </c>
      <c r="B14" s="347"/>
      <c r="C14" s="463">
        <v>0</v>
      </c>
      <c r="D14" s="464"/>
      <c r="E14" s="465"/>
      <c r="F14" s="466"/>
      <c r="G14" s="466"/>
      <c r="H14" s="467">
        <v>0</v>
      </c>
      <c r="I14" s="464"/>
      <c r="J14" s="468"/>
      <c r="K14" s="465"/>
      <c r="L14" s="467">
        <v>3130.991863521042</v>
      </c>
      <c r="M14" s="465">
        <v>3092.2052611591994</v>
      </c>
      <c r="N14" s="465">
        <v>38.786602361842682</v>
      </c>
      <c r="O14" s="465"/>
      <c r="P14" s="465"/>
      <c r="Q14" s="465"/>
      <c r="R14" s="465"/>
      <c r="S14" s="465"/>
      <c r="T14" s="465"/>
      <c r="U14" s="465"/>
      <c r="V14" s="465"/>
      <c r="W14" s="466"/>
      <c r="X14" s="466"/>
      <c r="Y14" s="466"/>
      <c r="Z14" s="465"/>
      <c r="AA14" s="467">
        <v>40.734584907594211</v>
      </c>
      <c r="AB14" s="469">
        <v>0</v>
      </c>
      <c r="AC14" s="470"/>
      <c r="AD14" s="465"/>
      <c r="AE14" s="465"/>
      <c r="AF14" s="465"/>
      <c r="AG14" s="465"/>
      <c r="AH14" s="465"/>
      <c r="AI14" s="465"/>
      <c r="AJ14" s="465"/>
      <c r="AK14" s="464"/>
      <c r="AL14" s="464"/>
      <c r="AM14" s="466"/>
      <c r="AN14" s="471"/>
      <c r="AO14" s="471">
        <v>11.442471999999999</v>
      </c>
      <c r="AP14" s="469"/>
      <c r="AQ14" s="472">
        <v>3183.1689204286363</v>
      </c>
    </row>
    <row r="15" spans="1:45" s="83" customFormat="1" ht="12.75" customHeight="1">
      <c r="A15" s="348" t="s">
        <v>240</v>
      </c>
      <c r="B15" s="349"/>
      <c r="C15" s="473">
        <v>0</v>
      </c>
      <c r="D15" s="474">
        <v>0</v>
      </c>
      <c r="E15" s="475">
        <v>0</v>
      </c>
      <c r="F15" s="476">
        <v>0</v>
      </c>
      <c r="G15" s="476">
        <v>0</v>
      </c>
      <c r="H15" s="477">
        <v>64.671797999999995</v>
      </c>
      <c r="I15" s="474">
        <v>0</v>
      </c>
      <c r="J15" s="478">
        <v>0</v>
      </c>
      <c r="K15" s="475">
        <v>64.671797999999995</v>
      </c>
      <c r="L15" s="477">
        <v>3166.7858692089685</v>
      </c>
      <c r="M15" s="475">
        <v>0</v>
      </c>
      <c r="N15" s="475">
        <v>0</v>
      </c>
      <c r="O15" s="475">
        <v>90.017983923640699</v>
      </c>
      <c r="P15" s="475">
        <v>640.53679657777786</v>
      </c>
      <c r="Q15" s="475">
        <v>226.77459106847999</v>
      </c>
      <c r="R15" s="475">
        <v>0</v>
      </c>
      <c r="S15" s="475">
        <v>960.95017928079096</v>
      </c>
      <c r="T15" s="475">
        <v>64.797462901984332</v>
      </c>
      <c r="U15" s="475">
        <v>1146.9502117491124</v>
      </c>
      <c r="V15" s="475">
        <v>0</v>
      </c>
      <c r="W15" s="476">
        <v>36.758643707182323</v>
      </c>
      <c r="X15" s="476">
        <v>0</v>
      </c>
      <c r="Y15" s="476">
        <v>0</v>
      </c>
      <c r="Z15" s="475">
        <v>0</v>
      </c>
      <c r="AA15" s="477">
        <v>0</v>
      </c>
      <c r="AB15" s="350">
        <v>0</v>
      </c>
      <c r="AC15" s="479">
        <v>0</v>
      </c>
      <c r="AD15" s="475">
        <v>0</v>
      </c>
      <c r="AE15" s="475">
        <v>0</v>
      </c>
      <c r="AF15" s="475">
        <v>0</v>
      </c>
      <c r="AG15" s="480">
        <v>0</v>
      </c>
      <c r="AH15" s="480">
        <v>0</v>
      </c>
      <c r="AI15" s="480">
        <v>0</v>
      </c>
      <c r="AJ15" s="480">
        <v>0</v>
      </c>
      <c r="AK15" s="474">
        <v>0</v>
      </c>
      <c r="AL15" s="474">
        <v>0</v>
      </c>
      <c r="AM15" s="476">
        <v>0</v>
      </c>
      <c r="AN15" s="477">
        <v>0</v>
      </c>
      <c r="AO15" s="477">
        <v>1873.361490524092</v>
      </c>
      <c r="AP15" s="350">
        <v>0</v>
      </c>
      <c r="AQ15" s="481">
        <v>5104.8191577330599</v>
      </c>
      <c r="AR15" s="79"/>
      <c r="AS15" s="82"/>
    </row>
    <row r="16" spans="1:45" ht="12.75" customHeight="1">
      <c r="A16" s="344" t="s">
        <v>614</v>
      </c>
      <c r="B16" s="345"/>
      <c r="C16" s="452">
        <v>0</v>
      </c>
      <c r="D16" s="453"/>
      <c r="E16" s="454"/>
      <c r="F16" s="455"/>
      <c r="G16" s="455"/>
      <c r="H16" s="456">
        <v>0</v>
      </c>
      <c r="I16" s="453"/>
      <c r="J16" s="454"/>
      <c r="K16" s="454"/>
      <c r="L16" s="456">
        <v>0</v>
      </c>
      <c r="M16" s="454"/>
      <c r="N16" s="454"/>
      <c r="O16" s="454"/>
      <c r="P16" s="454"/>
      <c r="Q16" s="454"/>
      <c r="R16" s="454"/>
      <c r="S16" s="454"/>
      <c r="T16" s="454"/>
      <c r="U16" s="454"/>
      <c r="V16" s="454"/>
      <c r="W16" s="455"/>
      <c r="X16" s="455"/>
      <c r="Y16" s="455"/>
      <c r="Z16" s="454"/>
      <c r="AA16" s="456"/>
      <c r="AB16" s="458">
        <v>0</v>
      </c>
      <c r="AC16" s="459"/>
      <c r="AD16" s="454"/>
      <c r="AE16" s="454"/>
      <c r="AF16" s="454"/>
      <c r="AG16" s="462"/>
      <c r="AH16" s="462"/>
      <c r="AI16" s="462"/>
      <c r="AJ16" s="462"/>
      <c r="AK16" s="453"/>
      <c r="AL16" s="453"/>
      <c r="AM16" s="455"/>
      <c r="AN16" s="460"/>
      <c r="AO16" s="460">
        <v>1667.7865923774164</v>
      </c>
      <c r="AP16" s="458"/>
      <c r="AQ16" s="482">
        <v>1667.7865923774164</v>
      </c>
    </row>
    <row r="17" spans="1:45" ht="12.75" customHeight="1">
      <c r="A17" s="336" t="s">
        <v>615</v>
      </c>
      <c r="B17" s="337"/>
      <c r="C17" s="409">
        <v>0</v>
      </c>
      <c r="D17" s="414"/>
      <c r="E17" s="416"/>
      <c r="F17" s="412"/>
      <c r="G17" s="412"/>
      <c r="H17" s="413">
        <v>0</v>
      </c>
      <c r="I17" s="414"/>
      <c r="J17" s="416"/>
      <c r="K17" s="416"/>
      <c r="L17" s="413">
        <v>0</v>
      </c>
      <c r="M17" s="416"/>
      <c r="N17" s="416"/>
      <c r="O17" s="416"/>
      <c r="P17" s="416"/>
      <c r="Q17" s="416"/>
      <c r="R17" s="416"/>
      <c r="S17" s="416"/>
      <c r="T17" s="416"/>
      <c r="U17" s="416"/>
      <c r="V17" s="416"/>
      <c r="W17" s="412"/>
      <c r="X17" s="412"/>
      <c r="Y17" s="412"/>
      <c r="Z17" s="416"/>
      <c r="AA17" s="413"/>
      <c r="AB17" s="417">
        <v>0</v>
      </c>
      <c r="AC17" s="418"/>
      <c r="AD17" s="416"/>
      <c r="AE17" s="416"/>
      <c r="AF17" s="416"/>
      <c r="AG17" s="416"/>
      <c r="AH17" s="416"/>
      <c r="AI17" s="416"/>
      <c r="AJ17" s="416"/>
      <c r="AK17" s="414"/>
      <c r="AL17" s="414"/>
      <c r="AM17" s="412"/>
      <c r="AN17" s="419"/>
      <c r="AO17" s="483">
        <v>185.14395873624346</v>
      </c>
      <c r="AP17" s="417"/>
      <c r="AQ17" s="420">
        <v>185.14395873624346</v>
      </c>
    </row>
    <row r="18" spans="1:45" ht="12.75" customHeight="1">
      <c r="A18" s="336" t="s">
        <v>616</v>
      </c>
      <c r="B18" s="337"/>
      <c r="C18" s="409"/>
      <c r="D18" s="414"/>
      <c r="E18" s="416"/>
      <c r="F18" s="412"/>
      <c r="G18" s="412"/>
      <c r="H18" s="413"/>
      <c r="I18" s="414"/>
      <c r="J18" s="416"/>
      <c r="K18" s="416"/>
      <c r="L18" s="413"/>
      <c r="M18" s="416"/>
      <c r="N18" s="416"/>
      <c r="O18" s="416"/>
      <c r="P18" s="416"/>
      <c r="Q18" s="416"/>
      <c r="R18" s="416"/>
      <c r="S18" s="416"/>
      <c r="T18" s="416"/>
      <c r="U18" s="416"/>
      <c r="V18" s="416"/>
      <c r="W18" s="412"/>
      <c r="X18" s="412"/>
      <c r="Y18" s="412"/>
      <c r="Z18" s="416"/>
      <c r="AA18" s="413"/>
      <c r="AB18" s="417"/>
      <c r="AC18" s="418"/>
      <c r="AD18" s="416"/>
      <c r="AE18" s="416"/>
      <c r="AF18" s="416"/>
      <c r="AG18" s="416"/>
      <c r="AH18" s="416"/>
      <c r="AI18" s="416"/>
      <c r="AJ18" s="416"/>
      <c r="AK18" s="414"/>
      <c r="AL18" s="414"/>
      <c r="AM18" s="412"/>
      <c r="AN18" s="419"/>
      <c r="AO18" s="419">
        <v>20.430939410432</v>
      </c>
      <c r="AP18" s="417"/>
      <c r="AQ18" s="420">
        <v>20.430939410432</v>
      </c>
    </row>
    <row r="19" spans="1:45" ht="12.75" customHeight="1">
      <c r="A19" s="336" t="s">
        <v>617</v>
      </c>
      <c r="B19" s="337"/>
      <c r="C19" s="409"/>
      <c r="D19" s="394"/>
      <c r="E19" s="416"/>
      <c r="F19" s="412"/>
      <c r="G19" s="412"/>
      <c r="H19" s="413">
        <v>64.671797999999995</v>
      </c>
      <c r="I19" s="414"/>
      <c r="J19" s="416"/>
      <c r="K19" s="416">
        <v>64.671797999999995</v>
      </c>
      <c r="L19" s="413">
        <v>0</v>
      </c>
      <c r="M19" s="416"/>
      <c r="N19" s="416"/>
      <c r="O19" s="416"/>
      <c r="P19" s="416"/>
      <c r="Q19" s="416"/>
      <c r="R19" s="416"/>
      <c r="S19" s="416"/>
      <c r="T19" s="416"/>
      <c r="U19" s="416"/>
      <c r="V19" s="416"/>
      <c r="W19" s="412"/>
      <c r="X19" s="412"/>
      <c r="Y19" s="412"/>
      <c r="Z19" s="416"/>
      <c r="AA19" s="413"/>
      <c r="AB19" s="417">
        <v>0</v>
      </c>
      <c r="AC19" s="418"/>
      <c r="AD19" s="416"/>
      <c r="AE19" s="416"/>
      <c r="AF19" s="416"/>
      <c r="AG19" s="416"/>
      <c r="AH19" s="416"/>
      <c r="AI19" s="416"/>
      <c r="AJ19" s="416"/>
      <c r="AK19" s="414"/>
      <c r="AL19" s="414"/>
      <c r="AM19" s="412"/>
      <c r="AN19" s="419"/>
      <c r="AO19" s="419"/>
      <c r="AP19" s="417"/>
      <c r="AQ19" s="420">
        <v>64.671797999999995</v>
      </c>
    </row>
    <row r="20" spans="1:45" ht="12.75" customHeight="1">
      <c r="A20" s="346" t="s">
        <v>618</v>
      </c>
      <c r="B20" s="347"/>
      <c r="C20" s="463"/>
      <c r="D20" s="464"/>
      <c r="E20" s="465"/>
      <c r="F20" s="466"/>
      <c r="G20" s="466"/>
      <c r="H20" s="467">
        <v>0</v>
      </c>
      <c r="I20" s="464"/>
      <c r="J20" s="465"/>
      <c r="K20" s="465"/>
      <c r="L20" s="467">
        <v>3166.7858692089685</v>
      </c>
      <c r="M20" s="465"/>
      <c r="N20" s="465"/>
      <c r="O20" s="465">
        <v>90.017983923640699</v>
      </c>
      <c r="P20" s="465">
        <v>640.53679657777786</v>
      </c>
      <c r="Q20" s="465">
        <v>226.77459106847999</v>
      </c>
      <c r="R20" s="465">
        <v>0</v>
      </c>
      <c r="S20" s="465">
        <v>960.95017928079096</v>
      </c>
      <c r="T20" s="465">
        <v>64.797462901984332</v>
      </c>
      <c r="U20" s="465">
        <v>1146.9502117491124</v>
      </c>
      <c r="V20" s="465"/>
      <c r="W20" s="466">
        <v>36.758643707182323</v>
      </c>
      <c r="X20" s="466"/>
      <c r="Y20" s="466"/>
      <c r="Z20" s="465"/>
      <c r="AA20" s="467"/>
      <c r="AB20" s="469">
        <v>0</v>
      </c>
      <c r="AC20" s="470"/>
      <c r="AD20" s="465"/>
      <c r="AE20" s="465"/>
      <c r="AF20" s="465"/>
      <c r="AG20" s="465"/>
      <c r="AH20" s="465"/>
      <c r="AI20" s="465"/>
      <c r="AJ20" s="465"/>
      <c r="AK20" s="464"/>
      <c r="AL20" s="464"/>
      <c r="AM20" s="466"/>
      <c r="AN20" s="471"/>
      <c r="AO20" s="471"/>
      <c r="AP20" s="469"/>
      <c r="AQ20" s="472">
        <v>3166.7858692089685</v>
      </c>
    </row>
    <row r="21" spans="1:45" ht="12.75" customHeight="1">
      <c r="A21" s="351" t="s">
        <v>241</v>
      </c>
      <c r="B21" s="352"/>
      <c r="C21" s="484">
        <v>22.240061570656767</v>
      </c>
      <c r="D21" s="485">
        <v>-17.14136118835</v>
      </c>
      <c r="E21" s="486">
        <v>39.381422759006767</v>
      </c>
      <c r="F21" s="487">
        <v>0</v>
      </c>
      <c r="G21" s="487">
        <v>0</v>
      </c>
      <c r="H21" s="488">
        <v>0</v>
      </c>
      <c r="I21" s="485">
        <v>0</v>
      </c>
      <c r="J21" s="486">
        <v>0</v>
      </c>
      <c r="K21" s="486">
        <v>0</v>
      </c>
      <c r="L21" s="488">
        <v>-24.684016341344105</v>
      </c>
      <c r="M21" s="486">
        <v>0</v>
      </c>
      <c r="N21" s="486">
        <v>30.880435114089789</v>
      </c>
      <c r="O21" s="486">
        <v>0</v>
      </c>
      <c r="P21" s="486">
        <v>-31.331710700000009</v>
      </c>
      <c r="Q21" s="486">
        <v>361.91080481920005</v>
      </c>
      <c r="R21" s="486">
        <v>-361.12225342559998</v>
      </c>
      <c r="S21" s="486">
        <v>-0.17168420677966101</v>
      </c>
      <c r="T21" s="486">
        <v>0</v>
      </c>
      <c r="U21" s="486">
        <v>-2.6095463715975598</v>
      </c>
      <c r="V21" s="486">
        <v>-22.240061570656763</v>
      </c>
      <c r="W21" s="487">
        <v>0</v>
      </c>
      <c r="X21" s="487">
        <v>0</v>
      </c>
      <c r="Y21" s="487">
        <v>0</v>
      </c>
      <c r="Z21" s="486">
        <v>0</v>
      </c>
      <c r="AA21" s="488">
        <v>0</v>
      </c>
      <c r="AB21" s="489">
        <v>-804.27908749625612</v>
      </c>
      <c r="AC21" s="490">
        <v>-59.691708987970003</v>
      </c>
      <c r="AD21" s="486">
        <v>-743.01992281532614</v>
      </c>
      <c r="AE21" s="486">
        <v>0</v>
      </c>
      <c r="AF21" s="486">
        <v>0</v>
      </c>
      <c r="AG21" s="491">
        <v>0</v>
      </c>
      <c r="AH21" s="491">
        <v>0</v>
      </c>
      <c r="AI21" s="491">
        <v>0</v>
      </c>
      <c r="AJ21" s="491">
        <v>0</v>
      </c>
      <c r="AK21" s="485">
        <v>-1.5674556929599923</v>
      </c>
      <c r="AL21" s="491">
        <v>0</v>
      </c>
      <c r="AM21" s="487">
        <v>0</v>
      </c>
      <c r="AN21" s="492">
        <v>0</v>
      </c>
      <c r="AO21" s="488">
        <v>804.27908749625612</v>
      </c>
      <c r="AP21" s="489">
        <v>0</v>
      </c>
      <c r="AQ21" s="493">
        <v>-2.4439547706873377</v>
      </c>
    </row>
    <row r="22" spans="1:45" ht="12.75" customHeight="1">
      <c r="A22" s="344" t="s">
        <v>619</v>
      </c>
      <c r="B22" s="345"/>
      <c r="C22" s="494"/>
      <c r="D22" s="495"/>
      <c r="E22" s="496"/>
      <c r="F22" s="455"/>
      <c r="G22" s="455"/>
      <c r="H22" s="456"/>
      <c r="I22" s="497"/>
      <c r="J22" s="454"/>
      <c r="K22" s="454"/>
      <c r="L22" s="456"/>
      <c r="M22" s="454"/>
      <c r="N22" s="454"/>
      <c r="O22" s="454"/>
      <c r="P22" s="454"/>
      <c r="Q22" s="454"/>
      <c r="R22" s="454"/>
      <c r="S22" s="454"/>
      <c r="T22" s="454"/>
      <c r="U22" s="454"/>
      <c r="V22" s="454"/>
      <c r="W22" s="455"/>
      <c r="X22" s="455"/>
      <c r="Y22" s="455"/>
      <c r="Z22" s="454"/>
      <c r="AA22" s="456"/>
      <c r="AB22" s="458">
        <v>-804.27908749625612</v>
      </c>
      <c r="AC22" s="459">
        <v>-59.691708987970003</v>
      </c>
      <c r="AD22" s="454">
        <v>-743.01992281532614</v>
      </c>
      <c r="AE22" s="454"/>
      <c r="AF22" s="454"/>
      <c r="AG22" s="462"/>
      <c r="AH22" s="462"/>
      <c r="AI22" s="462"/>
      <c r="AJ22" s="462"/>
      <c r="AK22" s="453">
        <v>-1.5674556929599923</v>
      </c>
      <c r="AL22" s="462"/>
      <c r="AM22" s="455"/>
      <c r="AN22" s="460"/>
      <c r="AO22" s="456">
        <v>804.27908749625612</v>
      </c>
      <c r="AP22" s="458"/>
      <c r="AQ22" s="482">
        <v>0</v>
      </c>
    </row>
    <row r="23" spans="1:45" ht="12.75" customHeight="1">
      <c r="A23" s="353" t="s">
        <v>620</v>
      </c>
      <c r="B23" s="349"/>
      <c r="C23" s="498"/>
      <c r="D23" s="499"/>
      <c r="E23" s="475"/>
      <c r="F23" s="500"/>
      <c r="G23" s="500"/>
      <c r="H23" s="477"/>
      <c r="I23"/>
      <c r="J23" s="501"/>
      <c r="K23" s="501"/>
      <c r="L23" s="477"/>
      <c r="M23" s="501"/>
      <c r="N23" s="501"/>
      <c r="O23" s="501"/>
      <c r="P23" s="501"/>
      <c r="Q23" s="501"/>
      <c r="R23" s="501"/>
      <c r="S23" s="501"/>
      <c r="T23" s="501"/>
      <c r="U23" s="501"/>
      <c r="V23" s="501"/>
      <c r="W23" s="500"/>
      <c r="X23" s="500"/>
      <c r="Y23" s="500"/>
      <c r="Z23" s="501"/>
      <c r="AA23" s="477"/>
      <c r="AB23" s="350"/>
      <c r="AC23" s="502"/>
      <c r="AD23" s="501"/>
      <c r="AE23" s="501"/>
      <c r="AF23" s="501"/>
      <c r="AG23" s="501"/>
      <c r="AH23" s="501"/>
      <c r="AI23" s="501"/>
      <c r="AJ23" s="501"/>
      <c r="AK23" s="503"/>
      <c r="AL23" s="503"/>
      <c r="AM23" s="500"/>
      <c r="AN23" s="504"/>
      <c r="AO23" s="477"/>
      <c r="AP23" s="350"/>
      <c r="AQ23" s="505">
        <v>0</v>
      </c>
    </row>
    <row r="24" spans="1:45" ht="12.75" customHeight="1" thickBot="1">
      <c r="A24" s="338" t="s">
        <v>621</v>
      </c>
      <c r="B24" s="339"/>
      <c r="C24" s="506">
        <v>22.240061570656767</v>
      </c>
      <c r="D24" s="507">
        <v>-17.14136118835</v>
      </c>
      <c r="E24" s="429">
        <v>39.381422759006767</v>
      </c>
      <c r="F24" s="423"/>
      <c r="G24" s="423">
        <v>0</v>
      </c>
      <c r="H24" s="424"/>
      <c r="I24" s="508"/>
      <c r="J24" s="429"/>
      <c r="K24" s="429"/>
      <c r="L24" s="424">
        <v>-24.684016341344105</v>
      </c>
      <c r="M24" s="429"/>
      <c r="N24" s="429">
        <v>30.880435114089789</v>
      </c>
      <c r="O24" s="429"/>
      <c r="P24" s="429">
        <v>-31.331710700000009</v>
      </c>
      <c r="Q24" s="429">
        <v>361.91080481920005</v>
      </c>
      <c r="R24" s="429">
        <v>-361.12225342559998</v>
      </c>
      <c r="S24" s="429">
        <v>-0.17168420677966101</v>
      </c>
      <c r="T24" s="429"/>
      <c r="U24" s="429">
        <v>-2.6095463715975598</v>
      </c>
      <c r="V24" s="423">
        <v>-22.240061570656763</v>
      </c>
      <c r="W24" s="423">
        <v>0</v>
      </c>
      <c r="X24" s="423"/>
      <c r="Y24" s="423"/>
      <c r="Z24" s="429"/>
      <c r="AA24" s="424"/>
      <c r="AB24" s="424">
        <v>0</v>
      </c>
      <c r="AC24" s="428"/>
      <c r="AD24" s="429"/>
      <c r="AE24" s="429"/>
      <c r="AF24" s="429"/>
      <c r="AG24" s="429"/>
      <c r="AH24" s="429">
        <v>0</v>
      </c>
      <c r="AI24" s="429"/>
      <c r="AJ24" s="429"/>
      <c r="AK24" s="425"/>
      <c r="AL24" s="425"/>
      <c r="AM24" s="423"/>
      <c r="AN24" s="430"/>
      <c r="AO24" s="424"/>
      <c r="AP24" s="427"/>
      <c r="AQ24" s="431">
        <v>-2.4439547706873377</v>
      </c>
    </row>
    <row r="25" spans="1:45" ht="12.75" customHeight="1" thickBot="1">
      <c r="A25" s="348" t="s">
        <v>242</v>
      </c>
      <c r="B25" s="349"/>
      <c r="C25" s="473">
        <v>0</v>
      </c>
      <c r="D25" s="474"/>
      <c r="E25" s="475"/>
      <c r="F25" s="500"/>
      <c r="G25" s="500"/>
      <c r="H25" s="477">
        <v>10.28324833984202</v>
      </c>
      <c r="I25" s="500">
        <v>10.28324833984202</v>
      </c>
      <c r="J25" s="509"/>
      <c r="K25" s="501"/>
      <c r="L25" s="477">
        <v>98.284657617035819</v>
      </c>
      <c r="M25" s="501"/>
      <c r="N25" s="501"/>
      <c r="O25" s="501">
        <v>95.274692021714102</v>
      </c>
      <c r="P25" s="501"/>
      <c r="Q25" s="501"/>
      <c r="R25" s="501"/>
      <c r="S25" s="501">
        <v>0</v>
      </c>
      <c r="T25" s="501">
        <v>4.1693256233877908E-3</v>
      </c>
      <c r="U25" s="501">
        <v>3.0057962696983291</v>
      </c>
      <c r="V25" s="501"/>
      <c r="W25" s="500"/>
      <c r="X25" s="500"/>
      <c r="Y25" s="500"/>
      <c r="Z25" s="501"/>
      <c r="AA25" s="477">
        <v>57.528599543766255</v>
      </c>
      <c r="AB25" s="350">
        <v>0</v>
      </c>
      <c r="AC25" s="479"/>
      <c r="AD25" s="501"/>
      <c r="AE25" s="501"/>
      <c r="AF25" s="501"/>
      <c r="AG25" s="501"/>
      <c r="AH25" s="501"/>
      <c r="AI25" s="501"/>
      <c r="AJ25" s="501"/>
      <c r="AK25" s="503"/>
      <c r="AL25" s="503"/>
      <c r="AM25" s="500"/>
      <c r="AN25" s="504"/>
      <c r="AO25" s="477">
        <v>259.46681438260055</v>
      </c>
      <c r="AP25" s="350"/>
      <c r="AQ25" s="505">
        <v>425.56331988324462</v>
      </c>
    </row>
    <row r="26" spans="1:45" s="83" customFormat="1" ht="12.75" customHeight="1" thickBot="1">
      <c r="A26" s="354" t="s">
        <v>243</v>
      </c>
      <c r="B26" s="355"/>
      <c r="C26" s="510">
        <v>320.15759843333262</v>
      </c>
      <c r="D26" s="511">
        <v>221.42915574234439</v>
      </c>
      <c r="E26" s="512">
        <v>86.198591658957852</v>
      </c>
      <c r="F26" s="512">
        <v>0</v>
      </c>
      <c r="G26" s="512">
        <v>12.529851032030438</v>
      </c>
      <c r="H26" s="513">
        <v>199.31419506885081</v>
      </c>
      <c r="I26" s="511">
        <v>0.37225106885087023</v>
      </c>
      <c r="J26" s="514">
        <v>127.70399999999999</v>
      </c>
      <c r="K26" s="512">
        <v>71.237943999999999</v>
      </c>
      <c r="L26" s="513">
        <v>7264.135463057145</v>
      </c>
      <c r="M26" s="512">
        <v>0</v>
      </c>
      <c r="N26" s="512">
        <v>-0.14794174855289199</v>
      </c>
      <c r="O26" s="512">
        <v>-5.2567080980734033</v>
      </c>
      <c r="P26" s="512">
        <v>799.22126723333315</v>
      </c>
      <c r="Q26" s="512">
        <v>934.9598444950401</v>
      </c>
      <c r="R26" s="512">
        <v>1106.9485985044798</v>
      </c>
      <c r="S26" s="512">
        <v>39.03952078017609</v>
      </c>
      <c r="T26" s="512">
        <v>187.88084937540125</v>
      </c>
      <c r="U26" s="512">
        <v>3815.0626351280866</v>
      </c>
      <c r="V26" s="512">
        <v>147.33759997605489</v>
      </c>
      <c r="W26" s="512">
        <v>7.506512734116022</v>
      </c>
      <c r="X26" s="512">
        <v>195.36275312176252</v>
      </c>
      <c r="Y26" s="512">
        <v>1.2096467108549098</v>
      </c>
      <c r="Z26" s="512">
        <v>35.010884844467988</v>
      </c>
      <c r="AA26" s="513">
        <v>1921.4292269183238</v>
      </c>
      <c r="AB26" s="515">
        <v>461.58542079448944</v>
      </c>
      <c r="AC26" s="450">
        <v>0</v>
      </c>
      <c r="AD26" s="434">
        <v>0</v>
      </c>
      <c r="AE26" s="434">
        <v>197.01521306540025</v>
      </c>
      <c r="AF26" s="434">
        <v>40.692904224132207</v>
      </c>
      <c r="AG26" s="434">
        <v>0</v>
      </c>
      <c r="AH26" s="434">
        <v>9.7770611234061491</v>
      </c>
      <c r="AI26" s="434">
        <v>128.62672037577602</v>
      </c>
      <c r="AJ26" s="434">
        <v>27.916404744672001</v>
      </c>
      <c r="AK26" s="437">
        <v>0</v>
      </c>
      <c r="AL26" s="437">
        <v>13.54608560366562</v>
      </c>
      <c r="AM26" s="516">
        <v>44.011031657437648</v>
      </c>
      <c r="AN26" s="513">
        <v>54.722939604974087</v>
      </c>
      <c r="AO26" s="513">
        <v>2361.4044575777475</v>
      </c>
      <c r="AP26" s="515">
        <v>0</v>
      </c>
      <c r="AQ26" s="517">
        <v>12582.749301454864</v>
      </c>
      <c r="AR26" s="79"/>
      <c r="AS26" s="82"/>
    </row>
    <row r="27" spans="1:45" s="83" customFormat="1" ht="12.75" customHeight="1">
      <c r="A27" s="340" t="s">
        <v>244</v>
      </c>
      <c r="B27" s="341"/>
      <c r="C27" s="432">
        <v>0</v>
      </c>
      <c r="D27" s="437">
        <v>0</v>
      </c>
      <c r="E27" s="434">
        <v>0</v>
      </c>
      <c r="F27" s="449">
        <v>0</v>
      </c>
      <c r="G27" s="449">
        <v>0</v>
      </c>
      <c r="H27" s="435">
        <v>0</v>
      </c>
      <c r="I27" s="437">
        <v>0</v>
      </c>
      <c r="J27" s="436">
        <v>0</v>
      </c>
      <c r="K27" s="434">
        <v>0</v>
      </c>
      <c r="L27" s="435">
        <v>231.58328467708543</v>
      </c>
      <c r="M27" s="434">
        <v>0</v>
      </c>
      <c r="N27" s="434">
        <v>0</v>
      </c>
      <c r="O27" s="434">
        <v>0</v>
      </c>
      <c r="P27" s="434">
        <v>0</v>
      </c>
      <c r="Q27" s="434">
        <v>0</v>
      </c>
      <c r="R27" s="434">
        <v>0</v>
      </c>
      <c r="S27" s="434">
        <v>0</v>
      </c>
      <c r="T27" s="434">
        <v>0</v>
      </c>
      <c r="U27" s="434">
        <v>0</v>
      </c>
      <c r="V27" s="434">
        <v>0</v>
      </c>
      <c r="W27" s="449"/>
      <c r="X27" s="449">
        <v>195.36275312176252</v>
      </c>
      <c r="Y27" s="449">
        <v>1.2096467108549098</v>
      </c>
      <c r="Z27" s="434">
        <v>35.010884844467988</v>
      </c>
      <c r="AA27" s="435">
        <v>0</v>
      </c>
      <c r="AB27" s="433">
        <v>0</v>
      </c>
      <c r="AC27" s="450">
        <v>0</v>
      </c>
      <c r="AD27" s="434">
        <v>0</v>
      </c>
      <c r="AE27" s="434">
        <v>0</v>
      </c>
      <c r="AF27" s="434">
        <v>0</v>
      </c>
      <c r="AG27" s="434">
        <v>0</v>
      </c>
      <c r="AH27" s="434">
        <v>0</v>
      </c>
      <c r="AI27" s="434">
        <v>0</v>
      </c>
      <c r="AJ27" s="434">
        <v>0</v>
      </c>
      <c r="AK27" s="437">
        <v>0</v>
      </c>
      <c r="AL27" s="437">
        <v>0</v>
      </c>
      <c r="AM27" s="449">
        <v>0</v>
      </c>
      <c r="AN27" s="435">
        <v>0</v>
      </c>
      <c r="AO27" s="435">
        <v>0</v>
      </c>
      <c r="AP27" s="433">
        <v>0</v>
      </c>
      <c r="AQ27" s="439">
        <v>231.58328467708543</v>
      </c>
      <c r="AR27" s="79"/>
      <c r="AS27" s="82"/>
    </row>
    <row r="28" spans="1:45" ht="12.75" customHeight="1" thickBot="1">
      <c r="A28" s="356" t="s">
        <v>245</v>
      </c>
      <c r="B28" s="357"/>
      <c r="C28" s="518">
        <v>0</v>
      </c>
      <c r="D28" s="485"/>
      <c r="E28" s="486"/>
      <c r="F28" s="487"/>
      <c r="G28" s="487"/>
      <c r="H28" s="492">
        <v>0</v>
      </c>
      <c r="I28" s="485"/>
      <c r="J28" s="519"/>
      <c r="K28" s="486"/>
      <c r="L28" s="492">
        <v>231.58328467708543</v>
      </c>
      <c r="M28" s="486"/>
      <c r="N28" s="486"/>
      <c r="O28" s="486"/>
      <c r="P28" s="486"/>
      <c r="Q28" s="486"/>
      <c r="R28" s="486"/>
      <c r="S28" s="486"/>
      <c r="T28" s="486"/>
      <c r="U28" s="486"/>
      <c r="V28" s="486"/>
      <c r="W28" s="487"/>
      <c r="X28" s="487">
        <v>195.36275312176252</v>
      </c>
      <c r="Y28" s="487">
        <v>1.2096467108549098</v>
      </c>
      <c r="Z28" s="486">
        <v>35.010884844467988</v>
      </c>
      <c r="AA28" s="492">
        <v>0</v>
      </c>
      <c r="AB28" s="520">
        <v>0</v>
      </c>
      <c r="AC28" s="490"/>
      <c r="AD28" s="486"/>
      <c r="AE28" s="486"/>
      <c r="AF28" s="486"/>
      <c r="AG28" s="486"/>
      <c r="AH28" s="486"/>
      <c r="AI28" s="486"/>
      <c r="AJ28" s="486"/>
      <c r="AK28" s="485"/>
      <c r="AL28" s="485"/>
      <c r="AM28" s="487"/>
      <c r="AN28" s="492"/>
      <c r="AO28" s="492"/>
      <c r="AP28" s="520"/>
      <c r="AQ28" s="493">
        <v>231.58328467708543</v>
      </c>
    </row>
    <row r="29" spans="1:45" s="83" customFormat="1" ht="12.75" customHeight="1" thickBot="1">
      <c r="A29" s="340" t="s">
        <v>246</v>
      </c>
      <c r="B29" s="341"/>
      <c r="C29" s="432">
        <v>322.73712666999984</v>
      </c>
      <c r="D29" s="437">
        <v>221.25198259398218</v>
      </c>
      <c r="E29" s="434">
        <v>89.647280058277374</v>
      </c>
      <c r="F29" s="449">
        <v>0</v>
      </c>
      <c r="G29" s="449">
        <v>11.837385289740231</v>
      </c>
      <c r="H29" s="435">
        <v>197.36847005356</v>
      </c>
      <c r="I29" s="437">
        <v>0.82966372355999995</v>
      </c>
      <c r="J29" s="521">
        <v>127.70399999999999</v>
      </c>
      <c r="K29" s="437">
        <v>68.834806329999992</v>
      </c>
      <c r="L29" s="435">
        <v>7068.2622000267629</v>
      </c>
      <c r="M29" s="434">
        <v>0</v>
      </c>
      <c r="N29" s="434">
        <v>0</v>
      </c>
      <c r="O29" s="434">
        <v>0</v>
      </c>
      <c r="P29" s="434">
        <v>821.48002832197096</v>
      </c>
      <c r="Q29" s="434">
        <v>934.32541284991999</v>
      </c>
      <c r="R29" s="434">
        <v>1102.8442060797599</v>
      </c>
      <c r="S29" s="434">
        <v>31.039400915077643</v>
      </c>
      <c r="T29" s="434">
        <v>181.32381570558746</v>
      </c>
      <c r="U29" s="434">
        <v>3850.7370652579057</v>
      </c>
      <c r="V29" s="434">
        <v>146.51227089654276</v>
      </c>
      <c r="W29" s="449">
        <v>0</v>
      </c>
      <c r="X29" s="449">
        <v>0</v>
      </c>
      <c r="Y29" s="449">
        <v>0</v>
      </c>
      <c r="Z29" s="437">
        <v>0</v>
      </c>
      <c r="AA29" s="513">
        <v>1961.7039372255226</v>
      </c>
      <c r="AB29" s="433">
        <v>464.00156697504468</v>
      </c>
      <c r="AC29" s="450">
        <v>0</v>
      </c>
      <c r="AD29" s="434">
        <v>0</v>
      </c>
      <c r="AE29" s="434">
        <v>201.73488232270705</v>
      </c>
      <c r="AF29" s="434">
        <v>40.692904224132199</v>
      </c>
      <c r="AG29" s="434">
        <v>0</v>
      </c>
      <c r="AH29" s="434">
        <v>9.7770611234061491</v>
      </c>
      <c r="AI29" s="434">
        <v>126.96834918892802</v>
      </c>
      <c r="AJ29" s="434">
        <v>27.271252854767997</v>
      </c>
      <c r="AK29" s="433">
        <v>0</v>
      </c>
      <c r="AL29" s="433">
        <v>13.546085603665619</v>
      </c>
      <c r="AM29" s="433">
        <v>44.011031657437648</v>
      </c>
      <c r="AN29" s="433">
        <v>54.722939604974094</v>
      </c>
      <c r="AO29" s="435">
        <v>2397.7151931597796</v>
      </c>
      <c r="AP29" s="433">
        <v>0</v>
      </c>
      <c r="AQ29" s="517">
        <v>12466.511433715645</v>
      </c>
      <c r="AR29" s="79"/>
      <c r="AS29" s="82"/>
    </row>
    <row r="30" spans="1:45" s="83" customFormat="1" ht="12.75" customHeight="1">
      <c r="A30" s="358" t="s">
        <v>247</v>
      </c>
      <c r="B30" s="359"/>
      <c r="C30" s="522">
        <v>105.42502802800003</v>
      </c>
      <c r="D30" s="523">
        <v>105.4245493</v>
      </c>
      <c r="E30" s="523">
        <v>0</v>
      </c>
      <c r="F30" s="524"/>
      <c r="G30" s="524"/>
      <c r="H30" s="525">
        <v>0.82966372355999995</v>
      </c>
      <c r="I30" s="526">
        <v>0.82966372355999995</v>
      </c>
      <c r="J30" s="523">
        <v>0</v>
      </c>
      <c r="K30" s="523">
        <v>0</v>
      </c>
      <c r="L30" s="525">
        <v>336.13485801713637</v>
      </c>
      <c r="M30" s="523">
        <v>0</v>
      </c>
      <c r="N30" s="523">
        <v>0</v>
      </c>
      <c r="O30" s="523">
        <v>0</v>
      </c>
      <c r="P30" s="523">
        <v>0</v>
      </c>
      <c r="Q30" s="523">
        <v>5.7874807171111975</v>
      </c>
      <c r="R30" s="523">
        <v>0</v>
      </c>
      <c r="S30" s="523">
        <v>30.396553446461994</v>
      </c>
      <c r="T30" s="523">
        <v>59.130270659455263</v>
      </c>
      <c r="U30" s="523">
        <v>99.712154020856318</v>
      </c>
      <c r="V30" s="523">
        <v>141.10839917325163</v>
      </c>
      <c r="W30" s="523">
        <v>0</v>
      </c>
      <c r="X30" s="523">
        <v>0</v>
      </c>
      <c r="Y30" s="523">
        <v>0</v>
      </c>
      <c r="Z30" s="523">
        <v>0</v>
      </c>
      <c r="AA30" s="525">
        <v>991.07205196168013</v>
      </c>
      <c r="AB30" s="527">
        <v>198.81521058080656</v>
      </c>
      <c r="AC30" s="528">
        <v>0</v>
      </c>
      <c r="AD30" s="523">
        <v>0</v>
      </c>
      <c r="AE30" s="523">
        <v>153.96698996806381</v>
      </c>
      <c r="AF30" s="523">
        <v>40.692904224132199</v>
      </c>
      <c r="AG30" s="523">
        <v>0</v>
      </c>
      <c r="AH30" s="523">
        <v>4.1553163886105651</v>
      </c>
      <c r="AI30" s="523">
        <v>0</v>
      </c>
      <c r="AJ30" s="523">
        <v>0</v>
      </c>
      <c r="AK30" s="523">
        <v>0</v>
      </c>
      <c r="AL30" s="523">
        <v>0</v>
      </c>
      <c r="AM30" s="529">
        <v>0</v>
      </c>
      <c r="AN30" s="526">
        <v>54.722939604974094</v>
      </c>
      <c r="AO30" s="525">
        <v>557.42969667618718</v>
      </c>
      <c r="AP30" s="527">
        <v>0</v>
      </c>
      <c r="AQ30" s="451">
        <v>2244.4294485923442</v>
      </c>
      <c r="AR30" s="79"/>
      <c r="AS30" s="82"/>
    </row>
    <row r="31" spans="1:45" ht="12.75" customHeight="1">
      <c r="A31" s="360" t="s">
        <v>248</v>
      </c>
      <c r="B31" s="361" t="s">
        <v>249</v>
      </c>
      <c r="C31" s="530">
        <v>0</v>
      </c>
      <c r="D31" s="459">
        <v>0</v>
      </c>
      <c r="E31" s="531"/>
      <c r="F31" s="531"/>
      <c r="G31" s="532"/>
      <c r="H31" s="533">
        <v>0</v>
      </c>
      <c r="I31" s="534"/>
      <c r="J31" s="535"/>
      <c r="K31" s="462"/>
      <c r="L31" s="533">
        <v>15.144242085454954</v>
      </c>
      <c r="M31" s="462"/>
      <c r="N31" s="462"/>
      <c r="O31" s="462"/>
      <c r="P31" s="536"/>
      <c r="Q31" s="497">
        <v>0.253</v>
      </c>
      <c r="R31" s="531"/>
      <c r="S31" s="497">
        <v>0</v>
      </c>
      <c r="T31" s="497">
        <v>9.3242085454953244E-2</v>
      </c>
      <c r="U31" s="497">
        <v>14.798</v>
      </c>
      <c r="V31" s="497">
        <v>0</v>
      </c>
      <c r="W31" s="531"/>
      <c r="X31" s="534"/>
      <c r="Y31" s="536"/>
      <c r="Z31" s="462"/>
      <c r="AA31" s="460">
        <v>11.682131866546742</v>
      </c>
      <c r="AB31" s="537">
        <v>0</v>
      </c>
      <c r="AC31" s="538"/>
      <c r="AD31" s="462"/>
      <c r="AE31" s="462"/>
      <c r="AF31" s="462"/>
      <c r="AG31" s="462"/>
      <c r="AH31" s="462"/>
      <c r="AI31" s="462"/>
      <c r="AJ31" s="462"/>
      <c r="AK31" s="453"/>
      <c r="AL31" s="455"/>
      <c r="AM31" s="462"/>
      <c r="AN31" s="460"/>
      <c r="AO31" s="460">
        <v>18.596553109438968</v>
      </c>
      <c r="AP31" s="537"/>
      <c r="AQ31" s="461">
        <v>45.42292706144066</v>
      </c>
    </row>
    <row r="32" spans="1:45" ht="12.75" customHeight="1">
      <c r="A32" s="362" t="s">
        <v>250</v>
      </c>
      <c r="B32" s="363" t="s">
        <v>251</v>
      </c>
      <c r="C32" s="409">
        <v>18.505815952000003</v>
      </c>
      <c r="D32" s="418">
        <v>18.505815952000003</v>
      </c>
      <c r="E32" s="539"/>
      <c r="F32" s="539"/>
      <c r="G32" s="540"/>
      <c r="H32" s="413">
        <v>0.82966372355999995</v>
      </c>
      <c r="I32" s="414">
        <v>0.82966372355999995</v>
      </c>
      <c r="J32" s="415"/>
      <c r="K32" s="416"/>
      <c r="L32" s="413">
        <v>67.219658121812799</v>
      </c>
      <c r="M32" s="416"/>
      <c r="N32" s="416"/>
      <c r="O32" s="416"/>
      <c r="P32" s="536"/>
      <c r="Q32" s="539">
        <v>1.5209999999999999</v>
      </c>
      <c r="R32" s="539"/>
      <c r="S32" s="539">
        <v>22.968462416696998</v>
      </c>
      <c r="T32" s="539">
        <v>31.589195705115795</v>
      </c>
      <c r="U32" s="539">
        <v>11.141</v>
      </c>
      <c r="V32" s="539">
        <v>0</v>
      </c>
      <c r="W32" s="539"/>
      <c r="X32" s="414"/>
      <c r="Y32" s="412"/>
      <c r="Z32" s="416"/>
      <c r="AA32" s="419">
        <v>279.3669759409463</v>
      </c>
      <c r="AB32" s="417">
        <v>27.983335383690566</v>
      </c>
      <c r="AC32" s="418"/>
      <c r="AD32" s="416"/>
      <c r="AE32" s="416">
        <v>23.828018995080001</v>
      </c>
      <c r="AF32" s="416"/>
      <c r="AG32" s="462"/>
      <c r="AH32" s="462">
        <v>4.1553163886105651</v>
      </c>
      <c r="AI32" s="462"/>
      <c r="AJ32" s="462"/>
      <c r="AK32" s="414"/>
      <c r="AL32" s="412"/>
      <c r="AM32" s="416"/>
      <c r="AN32" s="419"/>
      <c r="AO32" s="419">
        <v>98.157748907990253</v>
      </c>
      <c r="AP32" s="417"/>
      <c r="AQ32" s="420">
        <v>492.06319802999997</v>
      </c>
    </row>
    <row r="33" spans="1:45" ht="12.75" customHeight="1">
      <c r="A33" s="362" t="s">
        <v>252</v>
      </c>
      <c r="B33" s="364" t="s">
        <v>253</v>
      </c>
      <c r="C33" s="409">
        <v>0</v>
      </c>
      <c r="D33" s="418">
        <v>0</v>
      </c>
      <c r="E33" s="539"/>
      <c r="F33" s="539"/>
      <c r="G33" s="540"/>
      <c r="H33" s="413">
        <v>0</v>
      </c>
      <c r="I33" s="414"/>
      <c r="J33" s="415"/>
      <c r="K33" s="416"/>
      <c r="L33" s="413">
        <v>4.5600651981405953</v>
      </c>
      <c r="M33" s="416"/>
      <c r="N33" s="416"/>
      <c r="O33" s="416"/>
      <c r="P33" s="536"/>
      <c r="Q33" s="539">
        <v>7.6999999999999999E-2</v>
      </c>
      <c r="R33" s="539"/>
      <c r="S33" s="539">
        <v>0</v>
      </c>
      <c r="T33" s="539">
        <v>4.2050651981405958</v>
      </c>
      <c r="U33" s="539">
        <v>0.27800000000000002</v>
      </c>
      <c r="V33" s="539">
        <v>0</v>
      </c>
      <c r="W33" s="539"/>
      <c r="X33" s="414"/>
      <c r="Y33" s="412"/>
      <c r="Z33" s="416"/>
      <c r="AA33" s="419">
        <v>3.5954460471619698</v>
      </c>
      <c r="AB33" s="417">
        <v>0</v>
      </c>
      <c r="AC33" s="418"/>
      <c r="AD33" s="416"/>
      <c r="AE33" s="416"/>
      <c r="AF33" s="416"/>
      <c r="AG33" s="462"/>
      <c r="AH33" s="462"/>
      <c r="AI33" s="462"/>
      <c r="AJ33" s="462"/>
      <c r="AK33" s="414"/>
      <c r="AL33" s="412"/>
      <c r="AM33" s="416"/>
      <c r="AN33" s="419"/>
      <c r="AO33" s="419">
        <v>2.6274548950118599</v>
      </c>
      <c r="AP33" s="417"/>
      <c r="AQ33" s="420">
        <v>10.782966140314425</v>
      </c>
    </row>
    <row r="34" spans="1:45" ht="12.75" customHeight="1">
      <c r="A34" s="362" t="s">
        <v>254</v>
      </c>
      <c r="B34" s="364" t="s">
        <v>255</v>
      </c>
      <c r="C34" s="409">
        <v>0</v>
      </c>
      <c r="D34" s="418">
        <v>0</v>
      </c>
      <c r="E34" s="539"/>
      <c r="F34" s="539"/>
      <c r="G34" s="540"/>
      <c r="H34" s="413">
        <v>0</v>
      </c>
      <c r="I34" s="414"/>
      <c r="J34" s="415"/>
      <c r="K34" s="416"/>
      <c r="L34" s="413">
        <v>3.2351234226256715</v>
      </c>
      <c r="M34" s="416"/>
      <c r="N34" s="416"/>
      <c r="O34" s="416"/>
      <c r="P34" s="536"/>
      <c r="Q34" s="539">
        <v>0.16500000000000001</v>
      </c>
      <c r="R34" s="539"/>
      <c r="S34" s="539">
        <v>0</v>
      </c>
      <c r="T34" s="539">
        <v>0.62212342262567166</v>
      </c>
      <c r="U34" s="539">
        <v>2.448</v>
      </c>
      <c r="V34" s="539">
        <v>0</v>
      </c>
      <c r="W34" s="539"/>
      <c r="X34" s="414"/>
      <c r="Y34" s="412"/>
      <c r="Z34" s="416"/>
      <c r="AA34" s="419">
        <v>9.6798897276550644</v>
      </c>
      <c r="AB34" s="417">
        <v>127.91319688416</v>
      </c>
      <c r="AC34" s="418"/>
      <c r="AD34" s="416"/>
      <c r="AE34" s="416">
        <v>127.91319688416</v>
      </c>
      <c r="AF34" s="416"/>
      <c r="AG34" s="462"/>
      <c r="AH34" s="462"/>
      <c r="AI34" s="462"/>
      <c r="AJ34" s="462"/>
      <c r="AK34" s="414"/>
      <c r="AL34" s="412"/>
      <c r="AM34" s="416"/>
      <c r="AN34" s="419"/>
      <c r="AO34" s="419">
        <v>26.47082397885649</v>
      </c>
      <c r="AP34" s="417"/>
      <c r="AQ34" s="420">
        <v>167.29903401329722</v>
      </c>
    </row>
    <row r="35" spans="1:45" ht="12.75" customHeight="1">
      <c r="A35" s="362" t="s">
        <v>256</v>
      </c>
      <c r="B35" s="364" t="s">
        <v>257</v>
      </c>
      <c r="C35" s="409">
        <v>0</v>
      </c>
      <c r="D35" s="418">
        <v>0</v>
      </c>
      <c r="E35" s="539"/>
      <c r="F35" s="539"/>
      <c r="G35" s="540"/>
      <c r="H35" s="413">
        <v>0</v>
      </c>
      <c r="I35" s="414"/>
      <c r="J35" s="415"/>
      <c r="K35" s="416"/>
      <c r="L35" s="413">
        <v>1.6907943325216239</v>
      </c>
      <c r="M35" s="416"/>
      <c r="N35" s="416"/>
      <c r="O35" s="416"/>
      <c r="P35" s="536"/>
      <c r="Q35" s="539">
        <v>9.9000000000000005E-2</v>
      </c>
      <c r="R35" s="539"/>
      <c r="S35" s="539">
        <v>0</v>
      </c>
      <c r="T35" s="539">
        <v>0.68479433252162381</v>
      </c>
      <c r="U35" s="539">
        <v>0.90700000000000003</v>
      </c>
      <c r="V35" s="539">
        <v>0</v>
      </c>
      <c r="W35" s="539"/>
      <c r="X35" s="414"/>
      <c r="Y35" s="412"/>
      <c r="Z35" s="416"/>
      <c r="AA35" s="419">
        <v>14.321791914823407</v>
      </c>
      <c r="AB35" s="417">
        <v>0</v>
      </c>
      <c r="AC35" s="418"/>
      <c r="AD35" s="416"/>
      <c r="AE35" s="416"/>
      <c r="AF35" s="416"/>
      <c r="AG35" s="462"/>
      <c r="AH35" s="462"/>
      <c r="AI35" s="462"/>
      <c r="AJ35" s="462"/>
      <c r="AK35" s="414"/>
      <c r="AL35" s="412"/>
      <c r="AM35" s="416"/>
      <c r="AN35" s="419"/>
      <c r="AO35" s="419">
        <v>10.235641575985747</v>
      </c>
      <c r="AP35" s="417"/>
      <c r="AQ35" s="420">
        <v>26.24822782333078</v>
      </c>
    </row>
    <row r="36" spans="1:45" ht="12.75" customHeight="1">
      <c r="A36" s="362" t="s">
        <v>258</v>
      </c>
      <c r="B36" s="364" t="s">
        <v>259</v>
      </c>
      <c r="C36" s="409">
        <v>0</v>
      </c>
      <c r="D36" s="538">
        <v>0</v>
      </c>
      <c r="E36" s="539"/>
      <c r="F36" s="539"/>
      <c r="G36" s="540"/>
      <c r="H36" s="413">
        <v>0</v>
      </c>
      <c r="I36" s="414"/>
      <c r="J36" s="415"/>
      <c r="K36" s="416"/>
      <c r="L36" s="413">
        <v>21.325649296684531</v>
      </c>
      <c r="M36" s="416"/>
      <c r="N36" s="416"/>
      <c r="O36" s="416"/>
      <c r="P36" s="536"/>
      <c r="Q36" s="531">
        <v>0.26100000000000001</v>
      </c>
      <c r="R36" s="539"/>
      <c r="S36" s="531">
        <v>2.7458233928999998</v>
      </c>
      <c r="T36" s="531">
        <v>4.2570361965908976</v>
      </c>
      <c r="U36" s="531">
        <v>4.2439999999999998</v>
      </c>
      <c r="V36" s="531">
        <v>9.8177897071936346</v>
      </c>
      <c r="W36" s="539"/>
      <c r="X36" s="414"/>
      <c r="Y36" s="412"/>
      <c r="Z36" s="416"/>
      <c r="AA36" s="541">
        <v>114.31732296368018</v>
      </c>
      <c r="AB36" s="417">
        <v>0</v>
      </c>
      <c r="AC36" s="418"/>
      <c r="AD36" s="416"/>
      <c r="AE36" s="416">
        <v>0</v>
      </c>
      <c r="AF36" s="416"/>
      <c r="AG36" s="462"/>
      <c r="AH36" s="462"/>
      <c r="AI36" s="462"/>
      <c r="AJ36" s="462"/>
      <c r="AK36" s="534"/>
      <c r="AL36" s="536"/>
      <c r="AM36" s="416"/>
      <c r="AN36" s="541"/>
      <c r="AO36" s="541">
        <v>77.212977542362395</v>
      </c>
      <c r="AP36" s="417"/>
      <c r="AQ36" s="420">
        <v>212.85594980272714</v>
      </c>
    </row>
    <row r="37" spans="1:45" ht="12.75" customHeight="1">
      <c r="A37" s="362" t="s">
        <v>260</v>
      </c>
      <c r="B37" s="364" t="s">
        <v>261</v>
      </c>
      <c r="C37" s="409">
        <v>0</v>
      </c>
      <c r="D37" s="418">
        <v>0</v>
      </c>
      <c r="E37" s="539"/>
      <c r="F37" s="539"/>
      <c r="G37" s="540"/>
      <c r="H37" s="413">
        <v>0</v>
      </c>
      <c r="I37" s="414"/>
      <c r="J37" s="415"/>
      <c r="K37" s="416"/>
      <c r="L37" s="413">
        <v>4.2371808722604802</v>
      </c>
      <c r="M37" s="416"/>
      <c r="N37" s="416"/>
      <c r="O37" s="416"/>
      <c r="P37" s="536"/>
      <c r="Q37" s="539">
        <v>0.53200000000000003</v>
      </c>
      <c r="R37" s="539"/>
      <c r="S37" s="539">
        <v>0</v>
      </c>
      <c r="T37" s="539">
        <v>2.3111808722604805</v>
      </c>
      <c r="U37" s="539">
        <v>1.3939999999999999</v>
      </c>
      <c r="V37" s="539">
        <v>0</v>
      </c>
      <c r="W37" s="539"/>
      <c r="X37" s="414"/>
      <c r="Y37" s="412"/>
      <c r="Z37" s="416"/>
      <c r="AA37" s="419">
        <v>11.346038787052835</v>
      </c>
      <c r="AB37" s="417">
        <v>0</v>
      </c>
      <c r="AC37" s="418"/>
      <c r="AD37" s="416"/>
      <c r="AE37" s="416"/>
      <c r="AF37" s="416"/>
      <c r="AG37" s="462"/>
      <c r="AH37" s="462"/>
      <c r="AI37" s="462"/>
      <c r="AJ37" s="462"/>
      <c r="AK37" s="414"/>
      <c r="AL37" s="412"/>
      <c r="AM37" s="416"/>
      <c r="AN37" s="419"/>
      <c r="AO37" s="419">
        <v>24.01536266572835</v>
      </c>
      <c r="AP37" s="417"/>
      <c r="AQ37" s="420">
        <v>39.598582325041662</v>
      </c>
    </row>
    <row r="38" spans="1:45" ht="12.75" customHeight="1">
      <c r="A38" s="362" t="s">
        <v>262</v>
      </c>
      <c r="B38" s="364" t="s">
        <v>263</v>
      </c>
      <c r="C38" s="409">
        <v>86.919212076000022</v>
      </c>
      <c r="D38" s="418">
        <v>86.919212076000022</v>
      </c>
      <c r="E38" s="539"/>
      <c r="F38" s="539"/>
      <c r="G38" s="540"/>
      <c r="H38" s="413">
        <v>0</v>
      </c>
      <c r="I38" s="414"/>
      <c r="J38" s="415"/>
      <c r="K38" s="416"/>
      <c r="L38" s="413">
        <v>159.53532808461028</v>
      </c>
      <c r="M38" s="416"/>
      <c r="N38" s="416"/>
      <c r="O38" s="416"/>
      <c r="P38" s="536"/>
      <c r="Q38" s="539">
        <v>1.141</v>
      </c>
      <c r="R38" s="539"/>
      <c r="S38" s="539">
        <v>0</v>
      </c>
      <c r="T38" s="539">
        <v>2.9287186185523018</v>
      </c>
      <c r="U38" s="539">
        <v>24.175000000000001</v>
      </c>
      <c r="V38" s="539">
        <v>131.29060946605799</v>
      </c>
      <c r="W38" s="539"/>
      <c r="X38" s="414"/>
      <c r="Y38" s="412"/>
      <c r="Z38" s="416"/>
      <c r="AA38" s="419">
        <v>33.258898531824769</v>
      </c>
      <c r="AB38" s="417">
        <v>42.918678312955997</v>
      </c>
      <c r="AC38" s="418"/>
      <c r="AD38" s="416"/>
      <c r="AE38" s="416">
        <v>2.2257740888237998</v>
      </c>
      <c r="AF38" s="416">
        <v>40.692904224132199</v>
      </c>
      <c r="AG38" s="462"/>
      <c r="AH38" s="462"/>
      <c r="AI38" s="462"/>
      <c r="AJ38" s="462"/>
      <c r="AK38" s="414"/>
      <c r="AL38" s="412"/>
      <c r="AM38" s="416"/>
      <c r="AN38" s="419">
        <v>54.722939604974094</v>
      </c>
      <c r="AO38" s="419">
        <v>68.484809125239821</v>
      </c>
      <c r="AP38" s="417"/>
      <c r="AQ38" s="420">
        <v>445.83986573560492</v>
      </c>
    </row>
    <row r="39" spans="1:45" ht="12.75" customHeight="1">
      <c r="A39" s="362" t="s">
        <v>264</v>
      </c>
      <c r="B39" s="364" t="s">
        <v>265</v>
      </c>
      <c r="C39" s="409">
        <v>0</v>
      </c>
      <c r="D39" s="418">
        <v>0</v>
      </c>
      <c r="E39" s="539"/>
      <c r="F39" s="539"/>
      <c r="G39" s="540"/>
      <c r="H39" s="413">
        <v>0</v>
      </c>
      <c r="I39" s="414"/>
      <c r="J39" s="415"/>
      <c r="K39" s="416"/>
      <c r="L39" s="413">
        <v>5.8401190289291582</v>
      </c>
      <c r="M39" s="416"/>
      <c r="N39" s="416"/>
      <c r="O39" s="416"/>
      <c r="P39" s="536"/>
      <c r="Q39" s="539">
        <v>0.34300000000000003</v>
      </c>
      <c r="R39" s="539"/>
      <c r="S39" s="539">
        <v>1.0397614907400001</v>
      </c>
      <c r="T39" s="539">
        <v>1.6783575381891582</v>
      </c>
      <c r="U39" s="539">
        <v>2.7789999999999999</v>
      </c>
      <c r="V39" s="539">
        <v>0</v>
      </c>
      <c r="W39" s="539"/>
      <c r="X39" s="414"/>
      <c r="Y39" s="412"/>
      <c r="Z39" s="416"/>
      <c r="AA39" s="419">
        <v>424.33966909854604</v>
      </c>
      <c r="AB39" s="417">
        <v>0</v>
      </c>
      <c r="AC39" s="418"/>
      <c r="AD39" s="416"/>
      <c r="AE39" s="416"/>
      <c r="AF39" s="416"/>
      <c r="AG39" s="462"/>
      <c r="AH39" s="462"/>
      <c r="AI39" s="462"/>
      <c r="AJ39" s="462"/>
      <c r="AK39" s="414"/>
      <c r="AL39" s="412"/>
      <c r="AM39" s="416"/>
      <c r="AN39" s="419"/>
      <c r="AO39" s="419">
        <v>66.436062046919062</v>
      </c>
      <c r="AP39" s="417"/>
      <c r="AQ39" s="420">
        <v>496.61585017439427</v>
      </c>
    </row>
    <row r="40" spans="1:45" ht="12.75" customHeight="1">
      <c r="A40" s="362" t="s">
        <v>266</v>
      </c>
      <c r="B40" s="364" t="s">
        <v>267</v>
      </c>
      <c r="C40" s="409">
        <v>0</v>
      </c>
      <c r="D40" s="418">
        <v>0</v>
      </c>
      <c r="E40" s="539"/>
      <c r="F40" s="539"/>
      <c r="G40" s="540"/>
      <c r="H40" s="413">
        <v>0</v>
      </c>
      <c r="I40" s="414"/>
      <c r="J40" s="415"/>
      <c r="K40" s="416"/>
      <c r="L40" s="413">
        <v>4.2439088997123324</v>
      </c>
      <c r="M40" s="416"/>
      <c r="N40" s="416"/>
      <c r="O40" s="416"/>
      <c r="P40" s="536"/>
      <c r="Q40" s="539">
        <v>0.14599999999999999</v>
      </c>
      <c r="R40" s="539"/>
      <c r="S40" s="539">
        <v>0</v>
      </c>
      <c r="T40" s="539">
        <v>2.3769088997123329</v>
      </c>
      <c r="U40" s="539">
        <v>1.7210000000000001</v>
      </c>
      <c r="V40" s="539">
        <v>0</v>
      </c>
      <c r="W40" s="539"/>
      <c r="X40" s="414"/>
      <c r="Y40" s="412"/>
      <c r="Z40" s="416"/>
      <c r="AA40" s="419">
        <v>12.302506516322508</v>
      </c>
      <c r="AB40" s="417">
        <v>0</v>
      </c>
      <c r="AC40" s="418"/>
      <c r="AD40" s="416"/>
      <c r="AE40" s="416"/>
      <c r="AF40" s="416"/>
      <c r="AG40" s="462"/>
      <c r="AH40" s="462"/>
      <c r="AI40" s="462"/>
      <c r="AJ40" s="462"/>
      <c r="AK40" s="414"/>
      <c r="AL40" s="412"/>
      <c r="AM40" s="416"/>
      <c r="AN40" s="419"/>
      <c r="AO40" s="419">
        <v>16.760268691092211</v>
      </c>
      <c r="AP40" s="417"/>
      <c r="AQ40" s="420">
        <v>33.306684107127055</v>
      </c>
    </row>
    <row r="41" spans="1:45" ht="12.75" customHeight="1">
      <c r="A41" s="362" t="s">
        <v>268</v>
      </c>
      <c r="B41" s="364" t="s">
        <v>269</v>
      </c>
      <c r="C41" s="409">
        <v>0</v>
      </c>
      <c r="D41" s="538">
        <v>0</v>
      </c>
      <c r="E41" s="539"/>
      <c r="F41" s="539"/>
      <c r="G41" s="540"/>
      <c r="H41" s="413">
        <v>0</v>
      </c>
      <c r="I41" s="414"/>
      <c r="J41" s="415"/>
      <c r="K41" s="416"/>
      <c r="L41" s="413">
        <v>2.4740157183972542</v>
      </c>
      <c r="M41" s="416"/>
      <c r="N41" s="416"/>
      <c r="O41" s="416"/>
      <c r="P41" s="536"/>
      <c r="Q41" s="531">
        <v>0.185</v>
      </c>
      <c r="R41" s="539"/>
      <c r="S41" s="531">
        <v>0</v>
      </c>
      <c r="T41" s="531">
        <v>1.5530157183972542</v>
      </c>
      <c r="U41" s="531">
        <v>0.73599999999999999</v>
      </c>
      <c r="V41" s="531">
        <v>0</v>
      </c>
      <c r="W41" s="539"/>
      <c r="X41" s="414"/>
      <c r="Y41" s="412"/>
      <c r="Z41" s="416"/>
      <c r="AA41" s="541">
        <v>21.979669322440099</v>
      </c>
      <c r="AB41" s="417">
        <v>0</v>
      </c>
      <c r="AC41" s="418"/>
      <c r="AD41" s="416"/>
      <c r="AE41" s="416"/>
      <c r="AF41" s="416"/>
      <c r="AG41" s="462"/>
      <c r="AH41" s="462"/>
      <c r="AI41" s="462"/>
      <c r="AJ41" s="462"/>
      <c r="AK41" s="534"/>
      <c r="AL41" s="536"/>
      <c r="AM41" s="416"/>
      <c r="AN41" s="541"/>
      <c r="AO41" s="541">
        <v>86.522888957032833</v>
      </c>
      <c r="AP41" s="417"/>
      <c r="AQ41" s="420">
        <v>110.97657399787019</v>
      </c>
    </row>
    <row r="42" spans="1:45" ht="12.75" customHeight="1">
      <c r="A42" s="362" t="s">
        <v>270</v>
      </c>
      <c r="B42" s="364" t="s">
        <v>271</v>
      </c>
      <c r="C42" s="409">
        <v>0</v>
      </c>
      <c r="D42" s="418">
        <v>0</v>
      </c>
      <c r="E42" s="539"/>
      <c r="F42" s="539"/>
      <c r="G42" s="540"/>
      <c r="H42" s="413">
        <v>0</v>
      </c>
      <c r="I42" s="414"/>
      <c r="J42" s="415"/>
      <c r="K42" s="416"/>
      <c r="L42" s="413">
        <v>1.2825632056675345</v>
      </c>
      <c r="M42" s="416"/>
      <c r="N42" s="416"/>
      <c r="O42" s="416"/>
      <c r="P42" s="536"/>
      <c r="Q42" s="539">
        <v>6.6000000000000003E-2</v>
      </c>
      <c r="R42" s="539"/>
      <c r="S42" s="539">
        <v>0</v>
      </c>
      <c r="T42" s="539">
        <v>0.99356320566753442</v>
      </c>
      <c r="U42" s="539">
        <v>0.223</v>
      </c>
      <c r="V42" s="539">
        <v>0</v>
      </c>
      <c r="W42" s="539"/>
      <c r="X42" s="414"/>
      <c r="Y42" s="412"/>
      <c r="Z42" s="416"/>
      <c r="AA42" s="419">
        <v>0.94010620004481527</v>
      </c>
      <c r="AB42" s="417">
        <v>0</v>
      </c>
      <c r="AC42" s="418"/>
      <c r="AD42" s="416"/>
      <c r="AE42" s="416"/>
      <c r="AF42" s="416"/>
      <c r="AG42" s="462"/>
      <c r="AH42" s="462"/>
      <c r="AI42" s="462"/>
      <c r="AJ42" s="462"/>
      <c r="AK42" s="503"/>
      <c r="AL42" s="500"/>
      <c r="AM42" s="416"/>
      <c r="AN42" s="504"/>
      <c r="AO42" s="419">
        <v>2.5384229232132296</v>
      </c>
      <c r="AP42" s="417"/>
      <c r="AQ42" s="420">
        <v>4.7610923289255798</v>
      </c>
    </row>
    <row r="43" spans="1:45" ht="12.75" customHeight="1">
      <c r="A43" s="362" t="s">
        <v>272</v>
      </c>
      <c r="B43" s="364" t="s">
        <v>273</v>
      </c>
      <c r="C43" s="409">
        <v>0</v>
      </c>
      <c r="D43" s="418">
        <v>0</v>
      </c>
      <c r="E43" s="539"/>
      <c r="F43" s="539"/>
      <c r="G43" s="540"/>
      <c r="H43" s="413">
        <v>0</v>
      </c>
      <c r="I43" s="414"/>
      <c r="J43" s="415"/>
      <c r="K43" s="416">
        <v>0</v>
      </c>
      <c r="L43" s="413">
        <v>12.439747456729686</v>
      </c>
      <c r="M43" s="416"/>
      <c r="N43" s="416"/>
      <c r="O43" s="416"/>
      <c r="P43" s="412"/>
      <c r="Q43" s="539">
        <v>0.29799999999999999</v>
      </c>
      <c r="R43" s="539"/>
      <c r="S43" s="539">
        <v>3.6425061461249997</v>
      </c>
      <c r="T43" s="539">
        <v>5.3652413106046861</v>
      </c>
      <c r="U43" s="539">
        <v>3.1339999999999999</v>
      </c>
      <c r="V43" s="539">
        <v>0</v>
      </c>
      <c r="W43" s="539"/>
      <c r="X43" s="414"/>
      <c r="Y43" s="412"/>
      <c r="Z43" s="416"/>
      <c r="AA43" s="419">
        <v>49.77654401470064</v>
      </c>
      <c r="AB43" s="417">
        <v>0</v>
      </c>
      <c r="AC43" s="418"/>
      <c r="AD43" s="416"/>
      <c r="AE43" s="416"/>
      <c r="AF43" s="416"/>
      <c r="AG43" s="416"/>
      <c r="AH43" s="416"/>
      <c r="AI43" s="416"/>
      <c r="AJ43" s="416"/>
      <c r="AK43" s="414"/>
      <c r="AL43" s="412"/>
      <c r="AM43" s="416"/>
      <c r="AN43" s="419"/>
      <c r="AO43" s="419">
        <v>49.272114301876229</v>
      </c>
      <c r="AP43" s="417"/>
      <c r="AQ43" s="420">
        <v>111.48840577330655</v>
      </c>
    </row>
    <row r="44" spans="1:45" ht="12.75" customHeight="1">
      <c r="A44" s="365" t="s">
        <v>274</v>
      </c>
      <c r="B44" s="366" t="s">
        <v>275</v>
      </c>
      <c r="C44" s="463">
        <v>0</v>
      </c>
      <c r="D44" s="470">
        <v>0</v>
      </c>
      <c r="E44" s="542"/>
      <c r="F44" s="542"/>
      <c r="G44" s="543"/>
      <c r="H44" s="467">
        <v>0</v>
      </c>
      <c r="I44" s="464"/>
      <c r="J44" s="465"/>
      <c r="K44" s="465"/>
      <c r="L44" s="467">
        <v>32.906462293589499</v>
      </c>
      <c r="M44" s="465"/>
      <c r="N44" s="465"/>
      <c r="O44" s="465"/>
      <c r="P44" s="466"/>
      <c r="Q44" s="542">
        <v>0.70048071711119819</v>
      </c>
      <c r="R44" s="542"/>
      <c r="S44" s="542">
        <v>0</v>
      </c>
      <c r="T44" s="542">
        <v>0.47182755562197998</v>
      </c>
      <c r="U44" s="542">
        <v>31.73415402085632</v>
      </c>
      <c r="V44" s="542">
        <v>0</v>
      </c>
      <c r="W44" s="542"/>
      <c r="X44" s="464"/>
      <c r="Y44" s="466"/>
      <c r="Z44" s="465"/>
      <c r="AA44" s="471">
        <v>4.1650610299348516</v>
      </c>
      <c r="AB44" s="469">
        <v>0</v>
      </c>
      <c r="AC44" s="470"/>
      <c r="AD44" s="465"/>
      <c r="AE44" s="465"/>
      <c r="AF44" s="465"/>
      <c r="AG44" s="465"/>
      <c r="AH44" s="465"/>
      <c r="AI44" s="465"/>
      <c r="AJ44" s="465"/>
      <c r="AK44" s="464"/>
      <c r="AL44" s="466"/>
      <c r="AM44" s="465"/>
      <c r="AN44" s="471"/>
      <c r="AO44" s="471">
        <v>10.098567955439853</v>
      </c>
      <c r="AP44" s="469"/>
      <c r="AQ44" s="472">
        <v>47.170091278964208</v>
      </c>
    </row>
    <row r="45" spans="1:45" s="83" customFormat="1" ht="12.75" customHeight="1">
      <c r="A45" s="348" t="s">
        <v>276</v>
      </c>
      <c r="B45" s="349"/>
      <c r="C45" s="544">
        <v>0</v>
      </c>
      <c r="D45" s="545">
        <v>0</v>
      </c>
      <c r="E45" s="545">
        <v>0</v>
      </c>
      <c r="F45" s="546">
        <v>0</v>
      </c>
      <c r="G45" s="546">
        <v>0</v>
      </c>
      <c r="H45" s="547">
        <v>0</v>
      </c>
      <c r="I45" s="548">
        <v>0</v>
      </c>
      <c r="J45" s="549">
        <v>0</v>
      </c>
      <c r="K45" s="545">
        <v>0</v>
      </c>
      <c r="L45" s="547">
        <v>5036.6370716495994</v>
      </c>
      <c r="M45" s="545">
        <v>0</v>
      </c>
      <c r="N45" s="545">
        <v>0</v>
      </c>
      <c r="O45" s="545">
        <v>0</v>
      </c>
      <c r="P45" s="545">
        <v>821.48002832197096</v>
      </c>
      <c r="Q45" s="545">
        <v>0</v>
      </c>
      <c r="R45" s="545">
        <v>1102.8442060797599</v>
      </c>
      <c r="S45" s="545">
        <v>0</v>
      </c>
      <c r="T45" s="545">
        <v>1.8520724281984335</v>
      </c>
      <c r="U45" s="545">
        <v>3110.4607648196707</v>
      </c>
      <c r="V45" s="545">
        <v>0</v>
      </c>
      <c r="W45" s="546">
        <v>0</v>
      </c>
      <c r="X45" s="546">
        <v>0</v>
      </c>
      <c r="Y45" s="546">
        <v>0</v>
      </c>
      <c r="Z45" s="545">
        <v>0</v>
      </c>
      <c r="AA45" s="547">
        <v>22.560835415583806</v>
      </c>
      <c r="AB45" s="550">
        <v>154.23960204369604</v>
      </c>
      <c r="AC45" s="551">
        <v>0</v>
      </c>
      <c r="AD45" s="545">
        <v>0</v>
      </c>
      <c r="AE45" s="545">
        <v>0</v>
      </c>
      <c r="AF45" s="545">
        <v>0</v>
      </c>
      <c r="AG45" s="545">
        <v>0</v>
      </c>
      <c r="AH45" s="545">
        <v>0</v>
      </c>
      <c r="AI45" s="545">
        <v>126.96834918892802</v>
      </c>
      <c r="AJ45" s="545">
        <v>27.271252854767997</v>
      </c>
      <c r="AK45" s="548">
        <v>0</v>
      </c>
      <c r="AL45" s="546">
        <v>0</v>
      </c>
      <c r="AM45" s="545">
        <v>0</v>
      </c>
      <c r="AN45" s="547">
        <v>0</v>
      </c>
      <c r="AO45" s="547">
        <v>5.6677404740883173</v>
      </c>
      <c r="AP45" s="550">
        <v>0</v>
      </c>
      <c r="AQ45" s="552">
        <v>5219.1052495829681</v>
      </c>
      <c r="AR45" s="79"/>
      <c r="AS45" s="82"/>
    </row>
    <row r="46" spans="1:45" ht="12.75" customHeight="1">
      <c r="A46" s="367" t="s">
        <v>277</v>
      </c>
      <c r="B46" s="345"/>
      <c r="C46" s="452">
        <v>0</v>
      </c>
      <c r="D46" s="553"/>
      <c r="E46" s="496"/>
      <c r="F46" s="455"/>
      <c r="G46" s="455"/>
      <c r="H46" s="456">
        <v>0</v>
      </c>
      <c r="I46" s="453"/>
      <c r="J46" s="457"/>
      <c r="K46" s="454"/>
      <c r="L46" s="456">
        <v>703.5908900281911</v>
      </c>
      <c r="M46" s="454"/>
      <c r="N46" s="454"/>
      <c r="O46" s="454"/>
      <c r="P46" s="454"/>
      <c r="Q46" s="454"/>
      <c r="R46" s="454"/>
      <c r="S46" s="454"/>
      <c r="T46" s="454"/>
      <c r="U46" s="454">
        <v>703.5908900281911</v>
      </c>
      <c r="V46" s="454"/>
      <c r="W46" s="455"/>
      <c r="X46" s="455"/>
      <c r="Y46" s="455"/>
      <c r="Z46" s="454"/>
      <c r="AA46" s="460">
        <v>2.9723185667999998E-2</v>
      </c>
      <c r="AB46" s="458">
        <v>29.892474371624246</v>
      </c>
      <c r="AC46" s="459"/>
      <c r="AD46" s="454"/>
      <c r="AE46" s="454"/>
      <c r="AF46" s="454"/>
      <c r="AG46" s="454"/>
      <c r="AH46" s="454"/>
      <c r="AI46" s="454">
        <v>29.892474371624246</v>
      </c>
      <c r="AJ46" s="454">
        <v>0</v>
      </c>
      <c r="AK46" s="453"/>
      <c r="AL46" s="455"/>
      <c r="AM46" s="454"/>
      <c r="AN46" s="456"/>
      <c r="AO46" s="460"/>
      <c r="AP46" s="458"/>
      <c r="AQ46" s="482">
        <v>733.51308758548339</v>
      </c>
    </row>
    <row r="47" spans="1:45" ht="12.75" customHeight="1">
      <c r="A47" s="360" t="s">
        <v>278</v>
      </c>
      <c r="B47" s="368"/>
      <c r="C47" s="409">
        <v>0</v>
      </c>
      <c r="D47" s="554"/>
      <c r="E47" s="555"/>
      <c r="F47" s="536"/>
      <c r="G47" s="536"/>
      <c r="H47" s="413">
        <v>0</v>
      </c>
      <c r="I47" s="534"/>
      <c r="J47" s="535"/>
      <c r="K47" s="462"/>
      <c r="L47" s="533">
        <v>327.29884063426698</v>
      </c>
      <c r="M47" s="462"/>
      <c r="N47" s="462"/>
      <c r="O47" s="462"/>
      <c r="P47" s="462"/>
      <c r="Q47" s="462"/>
      <c r="R47" s="462"/>
      <c r="S47" s="462"/>
      <c r="T47" s="462"/>
      <c r="U47" s="462">
        <v>327.29884063426698</v>
      </c>
      <c r="V47" s="462"/>
      <c r="W47" s="536"/>
      <c r="X47" s="536"/>
      <c r="Y47" s="536"/>
      <c r="Z47" s="462"/>
      <c r="AA47" s="541"/>
      <c r="AB47" s="537">
        <v>13.905484485636451</v>
      </c>
      <c r="AC47" s="538"/>
      <c r="AD47" s="462"/>
      <c r="AE47" s="462"/>
      <c r="AF47" s="462"/>
      <c r="AG47" s="462"/>
      <c r="AH47" s="462"/>
      <c r="AI47" s="462">
        <v>13.905484485636451</v>
      </c>
      <c r="AJ47" s="462">
        <v>0</v>
      </c>
      <c r="AK47" s="534"/>
      <c r="AL47" s="536"/>
      <c r="AM47" s="462"/>
      <c r="AN47" s="533"/>
      <c r="AO47" s="541"/>
      <c r="AP47" s="537"/>
      <c r="AQ47" s="461">
        <v>341.20432511990344</v>
      </c>
    </row>
    <row r="48" spans="1:45" ht="12.75" customHeight="1">
      <c r="A48" s="362" t="s">
        <v>279</v>
      </c>
      <c r="B48" s="337"/>
      <c r="C48" s="409">
        <v>0</v>
      </c>
      <c r="D48" s="410"/>
      <c r="E48" s="421"/>
      <c r="F48" s="412"/>
      <c r="G48" s="412"/>
      <c r="H48" s="413">
        <v>0</v>
      </c>
      <c r="I48" s="414"/>
      <c r="J48" s="415"/>
      <c r="K48" s="416"/>
      <c r="L48" s="413">
        <v>1979.3195171155053</v>
      </c>
      <c r="M48" s="416"/>
      <c r="N48" s="416"/>
      <c r="O48" s="416"/>
      <c r="P48" s="416">
        <v>665.22585458348442</v>
      </c>
      <c r="Q48" s="416"/>
      <c r="R48" s="416"/>
      <c r="S48" s="416"/>
      <c r="T48" s="416">
        <v>1.8520724281984335</v>
      </c>
      <c r="U48" s="416">
        <v>1312.2415901038223</v>
      </c>
      <c r="V48" s="416"/>
      <c r="W48" s="412"/>
      <c r="X48" s="412"/>
      <c r="Y48" s="412"/>
      <c r="Z48" s="416"/>
      <c r="AA48" s="419"/>
      <c r="AB48" s="417">
        <v>77.853309025431258</v>
      </c>
      <c r="AC48" s="418"/>
      <c r="AD48" s="416"/>
      <c r="AE48" s="416"/>
      <c r="AF48" s="416"/>
      <c r="AG48" s="416"/>
      <c r="AH48" s="416"/>
      <c r="AI48" s="416">
        <v>55.751358719249858</v>
      </c>
      <c r="AJ48" s="416">
        <v>22.101950306181401</v>
      </c>
      <c r="AK48" s="414"/>
      <c r="AL48" s="412"/>
      <c r="AM48" s="416"/>
      <c r="AN48" s="413"/>
      <c r="AO48" s="419">
        <v>1.3596495940883178</v>
      </c>
      <c r="AP48" s="417"/>
      <c r="AQ48" s="420">
        <v>2058.5324757350249</v>
      </c>
    </row>
    <row r="49" spans="1:45" ht="12.75" customHeight="1">
      <c r="A49" s="362" t="s">
        <v>280</v>
      </c>
      <c r="B49" s="337"/>
      <c r="C49" s="409">
        <v>0</v>
      </c>
      <c r="D49" s="410"/>
      <c r="E49" s="421"/>
      <c r="F49" s="412"/>
      <c r="G49" s="412"/>
      <c r="H49" s="413">
        <v>0</v>
      </c>
      <c r="I49" s="414"/>
      <c r="J49" s="415"/>
      <c r="K49" s="416"/>
      <c r="L49" s="413">
        <v>133.35034810985957</v>
      </c>
      <c r="M49" s="416"/>
      <c r="N49" s="416"/>
      <c r="O49" s="416"/>
      <c r="P49" s="416">
        <v>6.3704940449997824</v>
      </c>
      <c r="Q49" s="416"/>
      <c r="R49" s="416"/>
      <c r="S49" s="416"/>
      <c r="T49" s="416"/>
      <c r="U49" s="416">
        <v>126.97985406485978</v>
      </c>
      <c r="V49" s="416"/>
      <c r="W49" s="412"/>
      <c r="X49" s="412"/>
      <c r="Y49" s="412"/>
      <c r="Z49" s="416"/>
      <c r="AA49" s="419"/>
      <c r="AB49" s="417">
        <v>5.6064720236416132</v>
      </c>
      <c r="AC49" s="418"/>
      <c r="AD49" s="416"/>
      <c r="AE49" s="416"/>
      <c r="AF49" s="416"/>
      <c r="AG49" s="416"/>
      <c r="AH49" s="416"/>
      <c r="AI49" s="416">
        <v>5.3948140704242524</v>
      </c>
      <c r="AJ49" s="416">
        <v>0.21165795321736039</v>
      </c>
      <c r="AK49" s="414"/>
      <c r="AL49" s="412"/>
      <c r="AM49" s="416"/>
      <c r="AN49" s="413"/>
      <c r="AO49" s="419"/>
      <c r="AP49" s="417"/>
      <c r="AQ49" s="420">
        <v>138.95682013350117</v>
      </c>
    </row>
    <row r="50" spans="1:45" ht="12.75" customHeight="1">
      <c r="A50" s="362" t="s">
        <v>281</v>
      </c>
      <c r="B50" s="337"/>
      <c r="C50" s="409">
        <v>0</v>
      </c>
      <c r="D50" s="410"/>
      <c r="E50" s="421"/>
      <c r="F50" s="412"/>
      <c r="G50" s="412"/>
      <c r="H50" s="413">
        <v>0</v>
      </c>
      <c r="I50" s="414"/>
      <c r="J50" s="415"/>
      <c r="K50" s="416"/>
      <c r="L50" s="413">
        <v>38.043221783939138</v>
      </c>
      <c r="M50" s="416"/>
      <c r="N50" s="416"/>
      <c r="O50" s="416"/>
      <c r="P50" s="416"/>
      <c r="Q50" s="416"/>
      <c r="R50" s="556"/>
      <c r="S50" s="416"/>
      <c r="T50" s="416"/>
      <c r="U50" s="416">
        <v>38.043221783939138</v>
      </c>
      <c r="V50" s="416"/>
      <c r="W50" s="412"/>
      <c r="X50" s="412"/>
      <c r="Y50" s="412"/>
      <c r="Z50" s="416"/>
      <c r="AA50" s="419"/>
      <c r="AB50" s="417">
        <v>0</v>
      </c>
      <c r="AC50" s="418"/>
      <c r="AD50" s="416"/>
      <c r="AE50" s="416"/>
      <c r="AF50" s="416"/>
      <c r="AG50" s="416"/>
      <c r="AH50" s="416"/>
      <c r="AI50" s="416">
        <v>0</v>
      </c>
      <c r="AJ50" s="416"/>
      <c r="AK50" s="414"/>
      <c r="AL50" s="412"/>
      <c r="AM50" s="416"/>
      <c r="AN50" s="413"/>
      <c r="AO50" s="419">
        <v>4.30809088</v>
      </c>
      <c r="AP50" s="417"/>
      <c r="AQ50" s="420">
        <v>42.35131266393914</v>
      </c>
    </row>
    <row r="51" spans="1:45" ht="12.75" customHeight="1">
      <c r="A51" s="362" t="s">
        <v>282</v>
      </c>
      <c r="B51" s="337"/>
      <c r="C51" s="409">
        <v>0</v>
      </c>
      <c r="D51" s="410"/>
      <c r="E51" s="421"/>
      <c r="F51" s="412"/>
      <c r="G51" s="412"/>
      <c r="H51" s="413">
        <v>0</v>
      </c>
      <c r="I51" s="414"/>
      <c r="J51" s="415"/>
      <c r="K51" s="416"/>
      <c r="L51" s="413">
        <v>5.5528743940352552</v>
      </c>
      <c r="M51" s="416"/>
      <c r="N51" s="416"/>
      <c r="O51" s="416"/>
      <c r="P51" s="416">
        <v>0.66818888888888883</v>
      </c>
      <c r="Q51" s="416"/>
      <c r="R51" s="416">
        <v>4.8846855051463667</v>
      </c>
      <c r="S51" s="416"/>
      <c r="T51" s="416"/>
      <c r="U51" s="416"/>
      <c r="V51" s="416"/>
      <c r="W51" s="412"/>
      <c r="X51" s="412"/>
      <c r="Y51" s="412"/>
      <c r="Z51" s="416"/>
      <c r="AA51" s="419"/>
      <c r="AB51" s="417">
        <v>0</v>
      </c>
      <c r="AC51" s="418"/>
      <c r="AD51" s="416"/>
      <c r="AE51" s="416"/>
      <c r="AF51" s="416"/>
      <c r="AG51" s="416"/>
      <c r="AH51" s="416"/>
      <c r="AI51" s="416"/>
      <c r="AJ51" s="416"/>
      <c r="AK51" s="414"/>
      <c r="AL51" s="412"/>
      <c r="AM51" s="416"/>
      <c r="AN51" s="413"/>
      <c r="AO51" s="419"/>
      <c r="AP51" s="417"/>
      <c r="AQ51" s="420">
        <v>5.5528743940352552</v>
      </c>
    </row>
    <row r="52" spans="1:45" ht="12.75" customHeight="1">
      <c r="A52" s="362" t="s">
        <v>283</v>
      </c>
      <c r="B52" s="364"/>
      <c r="C52" s="557">
        <v>0</v>
      </c>
      <c r="D52" s="556"/>
      <c r="E52" s="556"/>
      <c r="F52" s="558"/>
      <c r="G52" s="558"/>
      <c r="H52" s="559">
        <v>0</v>
      </c>
      <c r="I52" s="560"/>
      <c r="J52" s="561"/>
      <c r="K52" s="556"/>
      <c r="L52" s="559">
        <v>1097.9595205746136</v>
      </c>
      <c r="M52" s="556"/>
      <c r="N52" s="556"/>
      <c r="O52" s="556"/>
      <c r="P52" s="462"/>
      <c r="Q52" s="556"/>
      <c r="R52" s="556">
        <v>1097.9595205746136</v>
      </c>
      <c r="S52" s="556"/>
      <c r="T52" s="556"/>
      <c r="U52" s="556"/>
      <c r="V52" s="556"/>
      <c r="W52" s="558"/>
      <c r="X52" s="558"/>
      <c r="Y52" s="558"/>
      <c r="Z52" s="556"/>
      <c r="AA52" s="541"/>
      <c r="AB52" s="562">
        <v>0</v>
      </c>
      <c r="AC52" s="563"/>
      <c r="AD52" s="556"/>
      <c r="AE52" s="556"/>
      <c r="AF52" s="556"/>
      <c r="AG52" s="556"/>
      <c r="AH52" s="556"/>
      <c r="AI52" s="556"/>
      <c r="AJ52" s="556"/>
      <c r="AK52" s="534"/>
      <c r="AL52" s="536"/>
      <c r="AM52" s="556"/>
      <c r="AN52" s="541"/>
      <c r="AO52" s="541"/>
      <c r="AP52" s="562"/>
      <c r="AQ52" s="564">
        <v>1097.9595205746136</v>
      </c>
    </row>
    <row r="53" spans="1:45" ht="12.75" customHeight="1">
      <c r="A53" s="362" t="s">
        <v>284</v>
      </c>
      <c r="B53" s="364"/>
      <c r="C53" s="557">
        <v>0</v>
      </c>
      <c r="D53" s="560"/>
      <c r="E53" s="556"/>
      <c r="F53" s="558"/>
      <c r="G53" s="558"/>
      <c r="H53" s="559">
        <v>0</v>
      </c>
      <c r="I53" s="560"/>
      <c r="J53" s="561"/>
      <c r="K53" s="556"/>
      <c r="L53" s="559">
        <v>176.94052908505745</v>
      </c>
      <c r="M53" s="556"/>
      <c r="N53" s="556"/>
      <c r="O53" s="556"/>
      <c r="P53" s="556">
        <v>0</v>
      </c>
      <c r="Q53" s="556"/>
      <c r="R53" s="556"/>
      <c r="S53" s="556"/>
      <c r="T53" s="556"/>
      <c r="U53" s="556">
        <v>176.94052908505745</v>
      </c>
      <c r="V53" s="556"/>
      <c r="W53" s="558"/>
      <c r="X53" s="558"/>
      <c r="Y53" s="558"/>
      <c r="Z53" s="556"/>
      <c r="AA53" s="541"/>
      <c r="AB53" s="562">
        <v>7.5174228460587225</v>
      </c>
      <c r="AC53" s="563"/>
      <c r="AD53" s="556"/>
      <c r="AE53" s="556"/>
      <c r="AF53" s="556"/>
      <c r="AG53" s="556"/>
      <c r="AH53" s="556"/>
      <c r="AI53" s="416">
        <v>7.5174228460587225</v>
      </c>
      <c r="AJ53" s="416">
        <v>0</v>
      </c>
      <c r="AK53" s="556"/>
      <c r="AL53" s="556"/>
      <c r="AM53" s="556"/>
      <c r="AN53" s="541"/>
      <c r="AO53" s="419"/>
      <c r="AP53" s="562"/>
      <c r="AQ53" s="564">
        <v>184.45795193111618</v>
      </c>
    </row>
    <row r="54" spans="1:45" ht="12.75" customHeight="1">
      <c r="A54" s="336" t="s">
        <v>285</v>
      </c>
      <c r="B54" s="337"/>
      <c r="C54" s="557">
        <v>0</v>
      </c>
      <c r="D54" s="560"/>
      <c r="E54" s="556"/>
      <c r="F54" s="558"/>
      <c r="G54" s="558"/>
      <c r="H54" s="559">
        <v>0</v>
      </c>
      <c r="I54" s="560"/>
      <c r="J54" s="561"/>
      <c r="K54" s="556"/>
      <c r="L54" s="559">
        <v>83.913724293678101</v>
      </c>
      <c r="M54" s="556"/>
      <c r="N54" s="556"/>
      <c r="O54" s="556"/>
      <c r="P54" s="556"/>
      <c r="Q54" s="556"/>
      <c r="R54" s="556"/>
      <c r="S54" s="556"/>
      <c r="T54" s="556"/>
      <c r="U54" s="556">
        <v>83.913724293678101</v>
      </c>
      <c r="V54" s="556"/>
      <c r="W54" s="558"/>
      <c r="X54" s="558"/>
      <c r="Y54" s="558"/>
      <c r="Z54" s="556"/>
      <c r="AA54" s="504"/>
      <c r="AB54" s="562">
        <v>0</v>
      </c>
      <c r="AC54" s="563"/>
      <c r="AD54" s="556"/>
      <c r="AE54" s="556"/>
      <c r="AF54" s="556"/>
      <c r="AG54" s="556"/>
      <c r="AH54" s="556"/>
      <c r="AI54" s="556"/>
      <c r="AJ54" s="556"/>
      <c r="AK54" s="556"/>
      <c r="AL54" s="556"/>
      <c r="AM54" s="556"/>
      <c r="AN54" s="504"/>
      <c r="AO54" s="541"/>
      <c r="AP54" s="562"/>
      <c r="AQ54" s="564">
        <v>83.913724293678101</v>
      </c>
    </row>
    <row r="55" spans="1:45" ht="12.75" customHeight="1">
      <c r="A55" s="346" t="s">
        <v>286</v>
      </c>
      <c r="B55" s="347"/>
      <c r="C55" s="463">
        <v>0</v>
      </c>
      <c r="D55" s="565"/>
      <c r="E55" s="566"/>
      <c r="F55" s="466"/>
      <c r="G55" s="466"/>
      <c r="H55" s="467">
        <v>0</v>
      </c>
      <c r="I55" s="464"/>
      <c r="J55" s="468"/>
      <c r="K55" s="465"/>
      <c r="L55" s="467">
        <v>490.66760563045341</v>
      </c>
      <c r="M55" s="465"/>
      <c r="N55" s="465"/>
      <c r="O55" s="465"/>
      <c r="P55" s="465">
        <v>149.21549080459798</v>
      </c>
      <c r="Q55" s="465"/>
      <c r="R55" s="465"/>
      <c r="S55" s="465">
        <v>0</v>
      </c>
      <c r="T55" s="465"/>
      <c r="U55" s="465">
        <v>341.45211482585546</v>
      </c>
      <c r="V55" s="465"/>
      <c r="W55" s="466"/>
      <c r="X55" s="466"/>
      <c r="Y55" s="466"/>
      <c r="Z55" s="465"/>
      <c r="AA55" s="471">
        <v>22.531112229915806</v>
      </c>
      <c r="AB55" s="469">
        <v>19.464439291303719</v>
      </c>
      <c r="AC55" s="470"/>
      <c r="AD55" s="465"/>
      <c r="AE55" s="465"/>
      <c r="AF55" s="465"/>
      <c r="AG55" s="465"/>
      <c r="AH55" s="465"/>
      <c r="AI55" s="465">
        <v>14.506794695934483</v>
      </c>
      <c r="AJ55" s="465">
        <v>4.957644595369235</v>
      </c>
      <c r="AK55" s="464"/>
      <c r="AL55" s="466"/>
      <c r="AM55" s="465"/>
      <c r="AN55" s="467"/>
      <c r="AO55" s="471"/>
      <c r="AP55" s="469"/>
      <c r="AQ55" s="472">
        <v>532.66315715167298</v>
      </c>
    </row>
    <row r="56" spans="1:45" s="83" customFormat="1" ht="12.75" customHeight="1">
      <c r="A56" s="369" t="s">
        <v>153</v>
      </c>
      <c r="B56" s="370"/>
      <c r="C56" s="567">
        <v>216.74918330365395</v>
      </c>
      <c r="D56" s="568">
        <v>115.26451795563632</v>
      </c>
      <c r="E56" s="411">
        <v>89.647280058277374</v>
      </c>
      <c r="F56" s="569"/>
      <c r="G56" s="569">
        <v>11.837385289740231</v>
      </c>
      <c r="H56" s="570">
        <v>196.53880633</v>
      </c>
      <c r="I56" s="568"/>
      <c r="J56" s="571">
        <v>127.70399999999999</v>
      </c>
      <c r="K56" s="480">
        <v>68.834806329999992</v>
      </c>
      <c r="L56" s="570">
        <v>1258.1411159370996</v>
      </c>
      <c r="M56" s="480"/>
      <c r="N56" s="480"/>
      <c r="O56" s="480"/>
      <c r="P56" s="480">
        <v>0</v>
      </c>
      <c r="Q56" s="480">
        <v>866.95193213280879</v>
      </c>
      <c r="R56" s="480"/>
      <c r="S56" s="480">
        <v>0</v>
      </c>
      <c r="T56" s="480">
        <v>53.841522983216713</v>
      </c>
      <c r="U56" s="480">
        <v>331.94378909778288</v>
      </c>
      <c r="V56" s="480">
        <v>5.4038717232911377</v>
      </c>
      <c r="W56" s="569"/>
      <c r="X56" s="569"/>
      <c r="Y56" s="569"/>
      <c r="Z56" s="480"/>
      <c r="AA56" s="570">
        <v>604.09375845912712</v>
      </c>
      <c r="AB56" s="572">
        <v>71.512940102673923</v>
      </c>
      <c r="AC56" s="573"/>
      <c r="AD56" s="480"/>
      <c r="AE56" s="480">
        <v>29.774769107403241</v>
      </c>
      <c r="AF56" s="480"/>
      <c r="AG56" s="480"/>
      <c r="AH56" s="480"/>
      <c r="AI56" s="480"/>
      <c r="AJ56" s="480"/>
      <c r="AK56" s="568"/>
      <c r="AL56" s="569">
        <v>13.379590942008413</v>
      </c>
      <c r="AM56" s="480">
        <v>28.35858005326228</v>
      </c>
      <c r="AN56" s="570"/>
      <c r="AO56" s="570">
        <v>702.94473599999992</v>
      </c>
      <c r="AP56" s="572"/>
      <c r="AQ56" s="481">
        <v>3049.9805401325543</v>
      </c>
      <c r="AR56" s="79"/>
      <c r="AS56" s="82"/>
    </row>
    <row r="57" spans="1:45" s="83" customFormat="1" ht="12.75" customHeight="1">
      <c r="A57" s="369" t="s">
        <v>287</v>
      </c>
      <c r="B57" s="370"/>
      <c r="C57" s="567">
        <v>0.5629153383458646</v>
      </c>
      <c r="D57" s="480">
        <v>0.5629153383458646</v>
      </c>
      <c r="E57" s="480">
        <v>0</v>
      </c>
      <c r="F57" s="569">
        <v>0</v>
      </c>
      <c r="G57" s="569">
        <v>0</v>
      </c>
      <c r="H57" s="570">
        <v>0</v>
      </c>
      <c r="I57" s="568">
        <v>0</v>
      </c>
      <c r="J57" s="568">
        <v>0</v>
      </c>
      <c r="K57" s="568">
        <v>0</v>
      </c>
      <c r="L57" s="570">
        <v>234.63379710333268</v>
      </c>
      <c r="M57" s="480">
        <v>0</v>
      </c>
      <c r="N57" s="480">
        <v>0</v>
      </c>
      <c r="O57" s="480">
        <v>0</v>
      </c>
      <c r="P57" s="480">
        <v>0</v>
      </c>
      <c r="Q57" s="480">
        <v>61.585999999999999</v>
      </c>
      <c r="R57" s="480">
        <v>0</v>
      </c>
      <c r="S57" s="480">
        <v>0.64284746861564912</v>
      </c>
      <c r="T57" s="480">
        <v>66.499949634717041</v>
      </c>
      <c r="U57" s="480">
        <v>105.905</v>
      </c>
      <c r="V57" s="480">
        <v>0</v>
      </c>
      <c r="W57" s="569">
        <v>0</v>
      </c>
      <c r="X57" s="569">
        <v>0</v>
      </c>
      <c r="Y57" s="569">
        <v>0</v>
      </c>
      <c r="Z57" s="568">
        <v>0</v>
      </c>
      <c r="AA57" s="570">
        <v>343.97729138913144</v>
      </c>
      <c r="AB57" s="572">
        <v>39.433814247868156</v>
      </c>
      <c r="AC57" s="573">
        <v>0</v>
      </c>
      <c r="AD57" s="480">
        <v>0</v>
      </c>
      <c r="AE57" s="480">
        <v>17.993123247239996</v>
      </c>
      <c r="AF57" s="480">
        <v>0</v>
      </c>
      <c r="AG57" s="480">
        <v>0</v>
      </c>
      <c r="AH57" s="480">
        <v>5.621744734795584</v>
      </c>
      <c r="AI57" s="480">
        <v>0</v>
      </c>
      <c r="AJ57" s="480">
        <v>0</v>
      </c>
      <c r="AK57" s="480">
        <v>0</v>
      </c>
      <c r="AL57" s="480">
        <v>0.16649466165720572</v>
      </c>
      <c r="AM57" s="568">
        <v>15.65245160417537</v>
      </c>
      <c r="AN57" s="570">
        <v>0</v>
      </c>
      <c r="AO57" s="570">
        <v>1083.6850200095046</v>
      </c>
      <c r="AP57" s="572">
        <v>0</v>
      </c>
      <c r="AQ57" s="574">
        <v>1702.2928380881826</v>
      </c>
      <c r="AR57" s="79"/>
      <c r="AS57" s="82"/>
    </row>
    <row r="58" spans="1:45" ht="12.75" customHeight="1">
      <c r="A58" s="369" t="s">
        <v>288</v>
      </c>
      <c r="B58" s="370"/>
      <c r="C58" s="567">
        <v>0.56091563909774433</v>
      </c>
      <c r="D58" s="573">
        <v>0.56091563909774433</v>
      </c>
      <c r="E58" s="572">
        <v>0</v>
      </c>
      <c r="F58" s="572">
        <v>0</v>
      </c>
      <c r="G58" s="575">
        <v>0</v>
      </c>
      <c r="H58" s="570">
        <v>0</v>
      </c>
      <c r="I58" s="568">
        <v>0</v>
      </c>
      <c r="J58" s="576">
        <v>0</v>
      </c>
      <c r="K58" s="568">
        <v>0</v>
      </c>
      <c r="L58" s="570">
        <v>112.21994620323474</v>
      </c>
      <c r="M58" s="480">
        <v>0</v>
      </c>
      <c r="N58" s="569">
        <v>0</v>
      </c>
      <c r="O58" s="569">
        <v>0</v>
      </c>
      <c r="P58" s="572">
        <v>0</v>
      </c>
      <c r="Q58" s="572">
        <v>15.885000000000002</v>
      </c>
      <c r="R58" s="572">
        <v>0</v>
      </c>
      <c r="S58" s="572">
        <v>0</v>
      </c>
      <c r="T58" s="572">
        <v>44.474946203234737</v>
      </c>
      <c r="U58" s="572">
        <v>51.86</v>
      </c>
      <c r="V58" s="572">
        <v>0</v>
      </c>
      <c r="W58" s="572">
        <v>0</v>
      </c>
      <c r="X58" s="572">
        <v>0</v>
      </c>
      <c r="Y58" s="569">
        <v>0</v>
      </c>
      <c r="Z58" s="568">
        <v>0</v>
      </c>
      <c r="AA58" s="570">
        <v>217.21020814610509</v>
      </c>
      <c r="AB58" s="572">
        <v>23.753095666414968</v>
      </c>
      <c r="AC58" s="573">
        <v>0</v>
      </c>
      <c r="AD58" s="480">
        <v>0</v>
      </c>
      <c r="AE58" s="480">
        <v>7.1297186461823907</v>
      </c>
      <c r="AF58" s="480"/>
      <c r="AG58" s="480">
        <v>0</v>
      </c>
      <c r="AH58" s="480">
        <v>0.80443075440000011</v>
      </c>
      <c r="AI58" s="480">
        <v>0</v>
      </c>
      <c r="AJ58" s="480">
        <v>0</v>
      </c>
      <c r="AK58" s="480"/>
      <c r="AL58" s="480">
        <v>0.16649466165720572</v>
      </c>
      <c r="AM58" s="569">
        <v>15.65245160417537</v>
      </c>
      <c r="AN58" s="570">
        <v>0</v>
      </c>
      <c r="AO58" s="570">
        <v>845.19770764258874</v>
      </c>
      <c r="AP58" s="572">
        <v>0</v>
      </c>
      <c r="AQ58" s="574">
        <v>1198.9418732974414</v>
      </c>
    </row>
    <row r="59" spans="1:45" ht="12.75" customHeight="1">
      <c r="A59" s="336" t="s">
        <v>289</v>
      </c>
      <c r="B59" s="371" t="s">
        <v>290</v>
      </c>
      <c r="C59" s="452">
        <v>3.9993984962406011E-3</v>
      </c>
      <c r="D59" s="418">
        <v>3.9993984962406011E-3</v>
      </c>
      <c r="E59" s="458"/>
      <c r="F59" s="458"/>
      <c r="G59" s="494"/>
      <c r="H59" s="456">
        <v>0</v>
      </c>
      <c r="I59" s="553"/>
      <c r="J59" s="577"/>
      <c r="K59" s="553"/>
      <c r="L59" s="456">
        <v>29.541941664822474</v>
      </c>
      <c r="M59" s="496"/>
      <c r="N59" s="578"/>
      <c r="O59" s="578"/>
      <c r="P59" s="458"/>
      <c r="Q59" s="539">
        <v>6.4770000000000003</v>
      </c>
      <c r="R59" s="458"/>
      <c r="S59" s="539">
        <v>0</v>
      </c>
      <c r="T59" s="539">
        <v>12.226941664822474</v>
      </c>
      <c r="U59" s="539">
        <v>10.837999999999999</v>
      </c>
      <c r="V59" s="539">
        <v>0</v>
      </c>
      <c r="W59" s="458"/>
      <c r="X59" s="458"/>
      <c r="Y59" s="578"/>
      <c r="Z59" s="553"/>
      <c r="AA59" s="419">
        <v>47.451161673618081</v>
      </c>
      <c r="AB59" s="458">
        <v>2.7646609539144573</v>
      </c>
      <c r="AC59" s="579"/>
      <c r="AD59" s="496"/>
      <c r="AE59" s="454">
        <v>2.7646609539144573</v>
      </c>
      <c r="AF59" s="454"/>
      <c r="AG59" s="454"/>
      <c r="AH59" s="454">
        <v>0</v>
      </c>
      <c r="AI59" s="454"/>
      <c r="AJ59" s="454"/>
      <c r="AK59" s="454"/>
      <c r="AL59" s="454">
        <v>0</v>
      </c>
      <c r="AM59" s="455">
        <v>0</v>
      </c>
      <c r="AN59" s="456"/>
      <c r="AO59" s="419">
        <v>235.00697165115125</v>
      </c>
      <c r="AP59" s="458"/>
      <c r="AQ59" s="482">
        <v>314.76873534200251</v>
      </c>
    </row>
    <row r="60" spans="1:45" ht="12.75" customHeight="1">
      <c r="A60" s="336" t="s">
        <v>291</v>
      </c>
      <c r="B60" s="371" t="s">
        <v>292</v>
      </c>
      <c r="C60" s="409">
        <v>8.9986466165413535E-3</v>
      </c>
      <c r="D60" s="418">
        <v>8.9986466165413535E-3</v>
      </c>
      <c r="E60" s="417"/>
      <c r="F60" s="417"/>
      <c r="G60" s="580"/>
      <c r="H60" s="413">
        <v>0</v>
      </c>
      <c r="I60" s="410"/>
      <c r="J60" s="581"/>
      <c r="K60" s="410"/>
      <c r="L60" s="413">
        <v>24.233182643347472</v>
      </c>
      <c r="M60" s="421"/>
      <c r="N60" s="411"/>
      <c r="O60" s="411"/>
      <c r="P60" s="417"/>
      <c r="Q60" s="539">
        <v>1.206</v>
      </c>
      <c r="R60" s="417"/>
      <c r="S60" s="539">
        <v>0</v>
      </c>
      <c r="T60" s="539">
        <v>2.0971826433474732</v>
      </c>
      <c r="U60" s="539">
        <v>20.93</v>
      </c>
      <c r="V60" s="539">
        <v>0</v>
      </c>
      <c r="W60" s="417"/>
      <c r="X60" s="417"/>
      <c r="Y60" s="411"/>
      <c r="Z60" s="410"/>
      <c r="AA60" s="419">
        <v>24.721588928372107</v>
      </c>
      <c r="AB60" s="417">
        <v>2.394443197927245E-2</v>
      </c>
      <c r="AC60" s="582"/>
      <c r="AD60" s="421"/>
      <c r="AE60" s="416">
        <v>2.394443197927245E-2</v>
      </c>
      <c r="AF60" s="416"/>
      <c r="AG60" s="416"/>
      <c r="AH60" s="416">
        <v>0</v>
      </c>
      <c r="AI60" s="416"/>
      <c r="AJ60" s="416"/>
      <c r="AK60" s="416"/>
      <c r="AL60" s="416">
        <v>0</v>
      </c>
      <c r="AM60" s="412">
        <v>0</v>
      </c>
      <c r="AN60" s="413"/>
      <c r="AO60" s="419">
        <v>87.492123377295201</v>
      </c>
      <c r="AP60" s="417"/>
      <c r="AQ60" s="420">
        <v>136.47983802761058</v>
      </c>
    </row>
    <row r="61" spans="1:45" ht="12.75" customHeight="1">
      <c r="A61" s="336" t="s">
        <v>293</v>
      </c>
      <c r="B61" s="371" t="s">
        <v>294</v>
      </c>
      <c r="C61" s="409">
        <v>0.47092917293233083</v>
      </c>
      <c r="D61" s="418">
        <v>0.47092917293233083</v>
      </c>
      <c r="E61" s="417"/>
      <c r="F61" s="417"/>
      <c r="G61" s="580"/>
      <c r="H61" s="413">
        <v>0</v>
      </c>
      <c r="I61" s="410"/>
      <c r="J61" s="581"/>
      <c r="K61" s="410"/>
      <c r="L61" s="413">
        <v>29.616152866948283</v>
      </c>
      <c r="M61" s="421"/>
      <c r="N61" s="411"/>
      <c r="O61" s="411"/>
      <c r="P61" s="417"/>
      <c r="Q61" s="539">
        <v>3.4809999999999999</v>
      </c>
      <c r="R61" s="417"/>
      <c r="S61" s="539">
        <v>0</v>
      </c>
      <c r="T61" s="539">
        <v>21.230152866948284</v>
      </c>
      <c r="U61" s="539">
        <v>4.9050000000000002</v>
      </c>
      <c r="V61" s="539">
        <v>0</v>
      </c>
      <c r="W61" s="417"/>
      <c r="X61" s="417"/>
      <c r="Y61" s="411"/>
      <c r="Z61" s="410"/>
      <c r="AA61" s="419">
        <v>33.646803120530713</v>
      </c>
      <c r="AB61" s="417">
        <v>1.7958323984454334</v>
      </c>
      <c r="AC61" s="582"/>
      <c r="AD61" s="421"/>
      <c r="AE61" s="416">
        <v>1.7958323984454334</v>
      </c>
      <c r="AF61" s="416"/>
      <c r="AG61" s="416"/>
      <c r="AH61" s="416">
        <v>0</v>
      </c>
      <c r="AI61" s="416"/>
      <c r="AJ61" s="416"/>
      <c r="AK61" s="416"/>
      <c r="AL61" s="416">
        <v>0</v>
      </c>
      <c r="AM61" s="412">
        <v>0</v>
      </c>
      <c r="AN61" s="413"/>
      <c r="AO61" s="419">
        <v>122.94910614609984</v>
      </c>
      <c r="AP61" s="417"/>
      <c r="AQ61" s="420">
        <v>188.4788237049566</v>
      </c>
      <c r="AS61" s="169"/>
    </row>
    <row r="62" spans="1:45" ht="12.75" customHeight="1">
      <c r="A62" s="336" t="s">
        <v>295</v>
      </c>
      <c r="B62" s="371" t="s">
        <v>296</v>
      </c>
      <c r="C62" s="409">
        <v>1.1998195488721806E-2</v>
      </c>
      <c r="D62" s="418">
        <v>1.1998195488721806E-2</v>
      </c>
      <c r="E62" s="417"/>
      <c r="F62" s="417"/>
      <c r="G62" s="580"/>
      <c r="H62" s="413">
        <v>0</v>
      </c>
      <c r="I62" s="410"/>
      <c r="J62" s="581"/>
      <c r="K62" s="410"/>
      <c r="L62" s="413">
        <v>3.3425342041178365</v>
      </c>
      <c r="M62" s="421"/>
      <c r="N62" s="411"/>
      <c r="O62" s="411"/>
      <c r="P62" s="417"/>
      <c r="Q62" s="539">
        <v>0.45900000000000002</v>
      </c>
      <c r="R62" s="417"/>
      <c r="S62" s="539">
        <v>0</v>
      </c>
      <c r="T62" s="539">
        <v>1.0455342041178364</v>
      </c>
      <c r="U62" s="539">
        <v>1.8380000000000001</v>
      </c>
      <c r="V62" s="539">
        <v>0</v>
      </c>
      <c r="W62" s="417"/>
      <c r="X62" s="417"/>
      <c r="Y62" s="411"/>
      <c r="Z62" s="410"/>
      <c r="AA62" s="419">
        <v>15.62866906165873</v>
      </c>
      <c r="AB62" s="417">
        <v>0.14182471249261372</v>
      </c>
      <c r="AC62" s="582"/>
      <c r="AD62" s="421"/>
      <c r="AE62" s="416">
        <v>0.14182471249261372</v>
      </c>
      <c r="AF62" s="416"/>
      <c r="AG62" s="416"/>
      <c r="AH62" s="416">
        <v>0</v>
      </c>
      <c r="AI62" s="416"/>
      <c r="AJ62" s="416"/>
      <c r="AK62" s="416"/>
      <c r="AL62" s="416">
        <v>0</v>
      </c>
      <c r="AM62" s="412">
        <v>0</v>
      </c>
      <c r="AN62" s="413"/>
      <c r="AO62" s="419">
        <v>239.51927385821824</v>
      </c>
      <c r="AP62" s="417"/>
      <c r="AQ62" s="420">
        <v>258.64430003197617</v>
      </c>
      <c r="AS62" s="169"/>
    </row>
    <row r="63" spans="1:45" ht="12.75" customHeight="1">
      <c r="A63" s="336" t="s">
        <v>297</v>
      </c>
      <c r="B63" s="371" t="s">
        <v>298</v>
      </c>
      <c r="C63" s="409">
        <v>5.799127819548873E-2</v>
      </c>
      <c r="D63" s="563">
        <v>5.799127819548873E-2</v>
      </c>
      <c r="E63" s="417"/>
      <c r="F63" s="417"/>
      <c r="G63" s="580"/>
      <c r="H63" s="413">
        <v>0</v>
      </c>
      <c r="I63" s="410"/>
      <c r="J63" s="581"/>
      <c r="K63" s="410"/>
      <c r="L63" s="413">
        <v>3.8913699357981062</v>
      </c>
      <c r="M63" s="421"/>
      <c r="N63" s="411"/>
      <c r="O63" s="411"/>
      <c r="P63" s="417"/>
      <c r="Q63" s="583">
        <v>0.69</v>
      </c>
      <c r="R63" s="417"/>
      <c r="S63" s="583">
        <v>0</v>
      </c>
      <c r="T63" s="583">
        <v>0.18036993579810628</v>
      </c>
      <c r="U63" s="583">
        <v>3.0209999999999999</v>
      </c>
      <c r="V63" s="583">
        <v>0</v>
      </c>
      <c r="W63" s="417"/>
      <c r="X63" s="417"/>
      <c r="Y63" s="411"/>
      <c r="Z63" s="410"/>
      <c r="AA63" s="602">
        <v>12.813804304599236</v>
      </c>
      <c r="AB63" s="417">
        <v>0.73122611505932</v>
      </c>
      <c r="AC63" s="582"/>
      <c r="AD63" s="421"/>
      <c r="AE63" s="416">
        <v>0.73122611505932</v>
      </c>
      <c r="AF63" s="416"/>
      <c r="AG63" s="416"/>
      <c r="AH63" s="416">
        <v>0</v>
      </c>
      <c r="AI63" s="416"/>
      <c r="AJ63" s="416"/>
      <c r="AK63" s="416"/>
      <c r="AL63" s="416">
        <v>0</v>
      </c>
      <c r="AM63" s="412">
        <v>0</v>
      </c>
      <c r="AN63" s="413"/>
      <c r="AO63" s="602">
        <v>42.924539403414784</v>
      </c>
      <c r="AP63" s="417"/>
      <c r="AQ63" s="420">
        <v>60.41893103706694</v>
      </c>
      <c r="AS63" s="169"/>
    </row>
    <row r="64" spans="1:45" ht="12.75" customHeight="1">
      <c r="A64" s="346" t="s">
        <v>299</v>
      </c>
      <c r="B64" s="372"/>
      <c r="C64" s="463">
        <v>6.9989473684210534E-3</v>
      </c>
      <c r="D64" s="563">
        <v>6.9989473684210534E-3</v>
      </c>
      <c r="E64" s="469"/>
      <c r="F64" s="469"/>
      <c r="G64" s="584"/>
      <c r="H64" s="467">
        <v>0</v>
      </c>
      <c r="I64" s="565"/>
      <c r="J64" s="585"/>
      <c r="K64" s="565"/>
      <c r="L64" s="467">
        <v>21.594764888200565</v>
      </c>
      <c r="M64" s="566"/>
      <c r="N64" s="586"/>
      <c r="O64" s="586"/>
      <c r="P64" s="469"/>
      <c r="Q64" s="583">
        <v>3.5719999999999996</v>
      </c>
      <c r="R64" s="469"/>
      <c r="S64" s="583">
        <v>0</v>
      </c>
      <c r="T64" s="583">
        <v>7.6947648882005675</v>
      </c>
      <c r="U64" s="583">
        <v>10.327999999999999</v>
      </c>
      <c r="V64" s="583">
        <v>0</v>
      </c>
      <c r="W64" s="469"/>
      <c r="X64" s="469"/>
      <c r="Y64" s="586"/>
      <c r="Z64" s="565"/>
      <c r="AA64" s="602">
        <v>82.948181057326195</v>
      </c>
      <c r="AB64" s="469">
        <v>18.29560705452387</v>
      </c>
      <c r="AC64" s="587"/>
      <c r="AD64" s="566"/>
      <c r="AE64" s="465">
        <v>1.672230034291293</v>
      </c>
      <c r="AF64" s="465"/>
      <c r="AG64" s="465"/>
      <c r="AH64" s="465">
        <v>0.80443075440000011</v>
      </c>
      <c r="AI64" s="465"/>
      <c r="AJ64" s="465"/>
      <c r="AK64" s="465"/>
      <c r="AL64" s="465">
        <v>0.16649466165720572</v>
      </c>
      <c r="AM64" s="466">
        <v>15.65245160417537</v>
      </c>
      <c r="AN64" s="467"/>
      <c r="AO64" s="602">
        <v>117.30569320640937</v>
      </c>
      <c r="AP64" s="469"/>
      <c r="AQ64" s="472">
        <v>240.15124515382843</v>
      </c>
    </row>
    <row r="65" spans="1:45" ht="12.75" customHeight="1">
      <c r="A65" s="369" t="s">
        <v>300</v>
      </c>
      <c r="B65" s="370"/>
      <c r="C65" s="463">
        <v>1.9996992481203005E-3</v>
      </c>
      <c r="D65" s="573">
        <v>1.9996992481203005E-3</v>
      </c>
      <c r="E65" s="542"/>
      <c r="F65" s="542"/>
      <c r="G65" s="543"/>
      <c r="H65" s="467">
        <v>0</v>
      </c>
      <c r="I65" s="464"/>
      <c r="J65" s="468">
        <v>0</v>
      </c>
      <c r="K65" s="465">
        <v>0</v>
      </c>
      <c r="L65" s="467">
        <v>122.41385090009794</v>
      </c>
      <c r="M65" s="465"/>
      <c r="N65" s="466"/>
      <c r="O65" s="466"/>
      <c r="P65" s="542"/>
      <c r="Q65" s="572">
        <v>45.701000000000001</v>
      </c>
      <c r="R65" s="542"/>
      <c r="S65" s="572">
        <v>0.64284746861564912</v>
      </c>
      <c r="T65" s="572">
        <v>22.025003431482311</v>
      </c>
      <c r="U65" s="572">
        <v>54.044999999999995</v>
      </c>
      <c r="V65" s="572">
        <v>0</v>
      </c>
      <c r="W65" s="542"/>
      <c r="X65" s="542"/>
      <c r="Y65" s="466"/>
      <c r="Z65" s="465"/>
      <c r="AA65" s="570">
        <v>126.76708324302638</v>
      </c>
      <c r="AB65" s="469">
        <v>15.68071858145319</v>
      </c>
      <c r="AC65" s="470"/>
      <c r="AD65" s="465"/>
      <c r="AE65" s="465">
        <v>10.863404601057606</v>
      </c>
      <c r="AF65" s="465"/>
      <c r="AG65" s="465"/>
      <c r="AH65" s="465">
        <v>4.8173139803955838</v>
      </c>
      <c r="AI65" s="465"/>
      <c r="AJ65" s="465"/>
      <c r="AK65" s="465"/>
      <c r="AL65" s="465"/>
      <c r="AM65" s="466"/>
      <c r="AN65" s="467"/>
      <c r="AO65" s="570">
        <v>238.48731236691594</v>
      </c>
      <c r="AP65" s="469"/>
      <c r="AQ65" s="588">
        <v>503.35096479074156</v>
      </c>
    </row>
    <row r="66" spans="1:45" ht="12.75" customHeight="1">
      <c r="A66" s="344" t="s">
        <v>301</v>
      </c>
      <c r="B66" s="373" t="s">
        <v>302</v>
      </c>
      <c r="C66" s="452">
        <v>0</v>
      </c>
      <c r="D66" s="459">
        <v>0</v>
      </c>
      <c r="E66" s="497"/>
      <c r="F66" s="497"/>
      <c r="G66" s="589"/>
      <c r="H66" s="456">
        <v>0</v>
      </c>
      <c r="I66" s="495"/>
      <c r="J66" s="457"/>
      <c r="K66" s="590"/>
      <c r="L66" s="456">
        <v>4.9546664516755552</v>
      </c>
      <c r="M66" s="495"/>
      <c r="N66" s="497"/>
      <c r="O66" s="455"/>
      <c r="P66" s="497"/>
      <c r="Q66" s="497">
        <v>0.13400000000000001</v>
      </c>
      <c r="R66" s="497"/>
      <c r="S66" s="497">
        <v>2.4767239801116617E-3</v>
      </c>
      <c r="T66" s="497">
        <v>1.2411897276954431</v>
      </c>
      <c r="U66" s="497">
        <v>3.577</v>
      </c>
      <c r="V66" s="497">
        <v>0</v>
      </c>
      <c r="W66" s="497"/>
      <c r="X66" s="497"/>
      <c r="Y66" s="455"/>
      <c r="Z66" s="454"/>
      <c r="AA66" s="460">
        <v>7.1458978889555871</v>
      </c>
      <c r="AB66" s="458">
        <v>4.8173139803955838</v>
      </c>
      <c r="AC66" s="459"/>
      <c r="AD66" s="454"/>
      <c r="AE66" s="454">
        <v>0</v>
      </c>
      <c r="AF66" s="454"/>
      <c r="AG66" s="454"/>
      <c r="AH66" s="454">
        <v>4.8173139803955838</v>
      </c>
      <c r="AI66" s="454"/>
      <c r="AJ66" s="454"/>
      <c r="AK66" s="454"/>
      <c r="AL66" s="454"/>
      <c r="AM66" s="455"/>
      <c r="AN66" s="456"/>
      <c r="AO66" s="460">
        <v>59.86489549200877</v>
      </c>
      <c r="AP66" s="458"/>
      <c r="AQ66" s="482">
        <v>76.782773813035504</v>
      </c>
    </row>
    <row r="67" spans="1:45" ht="12.75" customHeight="1">
      <c r="A67" s="374" t="s">
        <v>303</v>
      </c>
      <c r="B67" s="375">
        <v>84</v>
      </c>
      <c r="C67" s="409">
        <v>1.9996992481203005E-3</v>
      </c>
      <c r="D67" s="538">
        <v>1.9996992481203005E-3</v>
      </c>
      <c r="E67" s="539"/>
      <c r="F67" s="539"/>
      <c r="G67" s="540"/>
      <c r="H67" s="413">
        <v>0</v>
      </c>
      <c r="I67" s="591"/>
      <c r="J67" s="415"/>
      <c r="K67" s="592"/>
      <c r="L67" s="413">
        <v>38.631990200396601</v>
      </c>
      <c r="M67" s="591"/>
      <c r="N67" s="539"/>
      <c r="O67" s="412"/>
      <c r="P67" s="539"/>
      <c r="Q67" s="531">
        <v>6.774</v>
      </c>
      <c r="R67" s="539"/>
      <c r="S67" s="531">
        <v>0.3742605125502067</v>
      </c>
      <c r="T67" s="531">
        <v>8.4957296878463957</v>
      </c>
      <c r="U67" s="531">
        <v>22.988</v>
      </c>
      <c r="V67" s="531">
        <v>0</v>
      </c>
      <c r="W67" s="539"/>
      <c r="X67" s="539"/>
      <c r="Y67" s="412"/>
      <c r="Z67" s="416"/>
      <c r="AA67" s="541">
        <v>49.167758781459156</v>
      </c>
      <c r="AB67" s="417">
        <v>6.7210178686434734</v>
      </c>
      <c r="AC67" s="418"/>
      <c r="AD67" s="416"/>
      <c r="AE67" s="416">
        <v>6.7210178686434734</v>
      </c>
      <c r="AF67" s="416"/>
      <c r="AG67" s="416"/>
      <c r="AH67" s="416">
        <v>0</v>
      </c>
      <c r="AI67" s="416"/>
      <c r="AJ67" s="416"/>
      <c r="AK67" s="416"/>
      <c r="AL67" s="416"/>
      <c r="AM67" s="412"/>
      <c r="AN67" s="413"/>
      <c r="AO67" s="541">
        <v>88.902470748741692</v>
      </c>
      <c r="AP67" s="417"/>
      <c r="AQ67" s="420">
        <v>183.42523729848904</v>
      </c>
    </row>
    <row r="68" spans="1:45" ht="12.75" customHeight="1">
      <c r="A68" s="336" t="s">
        <v>64</v>
      </c>
      <c r="B68" s="371">
        <v>85</v>
      </c>
      <c r="C68" s="409">
        <v>0</v>
      </c>
      <c r="D68" s="538">
        <v>0</v>
      </c>
      <c r="E68" s="539"/>
      <c r="F68" s="539"/>
      <c r="G68" s="540"/>
      <c r="H68" s="413">
        <v>0</v>
      </c>
      <c r="I68" s="591"/>
      <c r="J68" s="415"/>
      <c r="K68" s="592"/>
      <c r="L68" s="413">
        <v>55.578415459328696</v>
      </c>
      <c r="M68" s="591"/>
      <c r="N68" s="539"/>
      <c r="O68" s="412"/>
      <c r="P68" s="539"/>
      <c r="Q68" s="531">
        <v>27.623000000000001</v>
      </c>
      <c r="R68" s="539"/>
      <c r="S68" s="531">
        <v>5.5588693775839519E-2</v>
      </c>
      <c r="T68" s="531">
        <v>8.8488267655528574</v>
      </c>
      <c r="U68" s="531">
        <v>19.050999999999998</v>
      </c>
      <c r="V68" s="531">
        <v>0</v>
      </c>
      <c r="W68" s="539"/>
      <c r="X68" s="539"/>
      <c r="Y68" s="412"/>
      <c r="Z68" s="416"/>
      <c r="AA68" s="541">
        <v>30.572880817411011</v>
      </c>
      <c r="AB68" s="417">
        <v>1.5177086116092688</v>
      </c>
      <c r="AC68" s="418"/>
      <c r="AD68" s="416"/>
      <c r="AE68" s="416">
        <v>1.5177086116092688</v>
      </c>
      <c r="AF68" s="416"/>
      <c r="AG68" s="416"/>
      <c r="AH68" s="416">
        <v>0</v>
      </c>
      <c r="AI68" s="416"/>
      <c r="AJ68" s="416"/>
      <c r="AK68" s="416"/>
      <c r="AL68" s="416"/>
      <c r="AM68" s="412"/>
      <c r="AN68" s="413"/>
      <c r="AO68" s="541">
        <v>57.582439487716599</v>
      </c>
      <c r="AP68" s="417"/>
      <c r="AQ68" s="420">
        <v>145.25144437606559</v>
      </c>
    </row>
    <row r="69" spans="1:45" ht="12.75" customHeight="1">
      <c r="A69" s="346" t="s">
        <v>304</v>
      </c>
      <c r="B69" s="372" t="s">
        <v>305</v>
      </c>
      <c r="C69" s="557">
        <v>0</v>
      </c>
      <c r="D69" s="470">
        <v>0</v>
      </c>
      <c r="E69" s="542"/>
      <c r="F69" s="542"/>
      <c r="G69" s="543"/>
      <c r="H69" s="559">
        <v>0</v>
      </c>
      <c r="I69" s="593"/>
      <c r="J69" s="468"/>
      <c r="K69" s="594"/>
      <c r="L69" s="559">
        <v>23.248778788697109</v>
      </c>
      <c r="M69" s="593"/>
      <c r="N69" s="542"/>
      <c r="O69" s="466"/>
      <c r="P69" s="542"/>
      <c r="Q69" s="542">
        <v>11.17</v>
      </c>
      <c r="R69" s="542"/>
      <c r="S69" s="542">
        <v>0.21052153830949127</v>
      </c>
      <c r="T69" s="542">
        <v>3.4392572503876191</v>
      </c>
      <c r="U69" s="542">
        <v>8.4290000000000003</v>
      </c>
      <c r="V69" s="542">
        <v>0</v>
      </c>
      <c r="W69" s="542"/>
      <c r="X69" s="542"/>
      <c r="Y69" s="466"/>
      <c r="Z69" s="465"/>
      <c r="AA69" s="471">
        <v>39.880545755200622</v>
      </c>
      <c r="AB69" s="562">
        <v>2.6246781208048646</v>
      </c>
      <c r="AC69" s="563"/>
      <c r="AD69" s="556"/>
      <c r="AE69" s="556">
        <v>2.6246781208048646</v>
      </c>
      <c r="AF69" s="556"/>
      <c r="AG69" s="556"/>
      <c r="AH69" s="556">
        <v>0</v>
      </c>
      <c r="AI69" s="556"/>
      <c r="AJ69" s="556"/>
      <c r="AK69" s="556"/>
      <c r="AL69" s="556"/>
      <c r="AM69" s="558"/>
      <c r="AN69" s="559"/>
      <c r="AO69" s="471">
        <v>32.137506638448876</v>
      </c>
      <c r="AP69" s="562"/>
      <c r="AQ69" s="564">
        <v>97.89150930315148</v>
      </c>
    </row>
    <row r="70" spans="1:45" s="83" customFormat="1" ht="12.75" customHeight="1">
      <c r="A70" s="351" t="s">
        <v>306</v>
      </c>
      <c r="B70" s="352"/>
      <c r="C70" s="484">
        <v>0</v>
      </c>
      <c r="D70" s="595">
        <v>0</v>
      </c>
      <c r="E70" s="596"/>
      <c r="F70" s="597"/>
      <c r="G70" s="597"/>
      <c r="H70" s="488">
        <v>0</v>
      </c>
      <c r="I70" s="595"/>
      <c r="J70" s="598"/>
      <c r="K70" s="596"/>
      <c r="L70" s="488">
        <v>175.46549158593075</v>
      </c>
      <c r="M70" s="596"/>
      <c r="N70" s="596"/>
      <c r="O70" s="596"/>
      <c r="P70" s="596">
        <v>0</v>
      </c>
      <c r="Q70" s="596">
        <v>0</v>
      </c>
      <c r="R70" s="596"/>
      <c r="S70" s="596"/>
      <c r="T70" s="599">
        <v>0</v>
      </c>
      <c r="U70" s="596">
        <v>175.46549158593075</v>
      </c>
      <c r="V70" s="454"/>
      <c r="W70" s="597"/>
      <c r="X70" s="597"/>
      <c r="Y70" s="597"/>
      <c r="Z70" s="596"/>
      <c r="AA70" s="488">
        <v>0</v>
      </c>
      <c r="AB70" s="489">
        <v>0</v>
      </c>
      <c r="AC70" s="600"/>
      <c r="AD70" s="596"/>
      <c r="AE70" s="596"/>
      <c r="AF70" s="596"/>
      <c r="AG70" s="596"/>
      <c r="AH70" s="596"/>
      <c r="AI70" s="596"/>
      <c r="AJ70" s="596"/>
      <c r="AK70" s="595"/>
      <c r="AL70" s="597"/>
      <c r="AM70" s="596"/>
      <c r="AN70" s="488"/>
      <c r="AO70" s="488">
        <v>47.988</v>
      </c>
      <c r="AP70" s="489"/>
      <c r="AQ70" s="481">
        <v>223.45349158593075</v>
      </c>
      <c r="AR70" s="79"/>
      <c r="AS70" s="82"/>
    </row>
    <row r="71" spans="1:45" s="83" customFormat="1" ht="12.75" customHeight="1" thickBot="1">
      <c r="A71" s="376" t="s">
        <v>307</v>
      </c>
      <c r="B71" s="347"/>
      <c r="C71" s="463">
        <v>0</v>
      </c>
      <c r="D71" s="464"/>
      <c r="E71" s="465"/>
      <c r="F71" s="466"/>
      <c r="G71" s="466"/>
      <c r="H71" s="467">
        <v>0</v>
      </c>
      <c r="I71" s="464"/>
      <c r="J71" s="468"/>
      <c r="K71" s="465"/>
      <c r="L71" s="467">
        <v>27.249865733664667</v>
      </c>
      <c r="M71" s="465"/>
      <c r="N71" s="465"/>
      <c r="O71" s="465"/>
      <c r="P71" s="465"/>
      <c r="Q71" s="465"/>
      <c r="R71" s="465"/>
      <c r="S71" s="465"/>
      <c r="T71" s="465"/>
      <c r="U71" s="566">
        <v>27.249865733664667</v>
      </c>
      <c r="V71" s="465"/>
      <c r="W71" s="466"/>
      <c r="X71" s="466"/>
      <c r="Y71" s="466"/>
      <c r="Z71" s="465"/>
      <c r="AA71" s="467"/>
      <c r="AB71" s="469">
        <v>0</v>
      </c>
      <c r="AC71" s="470"/>
      <c r="AD71" s="465"/>
      <c r="AE71" s="465"/>
      <c r="AF71" s="465"/>
      <c r="AG71" s="465"/>
      <c r="AH71" s="465"/>
      <c r="AI71" s="465"/>
      <c r="AJ71" s="465"/>
      <c r="AK71" s="464"/>
      <c r="AL71" s="466"/>
      <c r="AM71" s="465"/>
      <c r="AN71" s="467"/>
      <c r="AO71" s="471"/>
      <c r="AP71" s="469"/>
      <c r="AQ71" s="588">
        <v>27.249865733664667</v>
      </c>
      <c r="AR71" s="79"/>
      <c r="AS71" s="82"/>
    </row>
    <row r="72" spans="1:45" s="83" customFormat="1" ht="12.75" customHeight="1" thickBot="1">
      <c r="A72" s="354" t="s">
        <v>308</v>
      </c>
      <c r="B72" s="355"/>
      <c r="C72" s="510">
        <v>-2.5795282366672154</v>
      </c>
      <c r="D72" s="511">
        <v>0.17717314836221476</v>
      </c>
      <c r="E72" s="512">
        <v>-3.4486883993195221</v>
      </c>
      <c r="F72" s="516">
        <v>0</v>
      </c>
      <c r="G72" s="516">
        <v>0.69246574229020652</v>
      </c>
      <c r="H72" s="513">
        <v>1.9457250152908045</v>
      </c>
      <c r="I72" s="511">
        <v>-0.45741265470912973</v>
      </c>
      <c r="J72" s="514">
        <v>0</v>
      </c>
      <c r="K72" s="512">
        <v>2.4031376700000067</v>
      </c>
      <c r="L72" s="513">
        <v>-35.710021646703353</v>
      </c>
      <c r="M72" s="512">
        <v>0</v>
      </c>
      <c r="N72" s="512">
        <v>-0.14794174855289199</v>
      </c>
      <c r="O72" s="512">
        <v>-5.2567080980734033</v>
      </c>
      <c r="P72" s="512">
        <v>-22.258761088637812</v>
      </c>
      <c r="Q72" s="512">
        <v>0.63443164512011663</v>
      </c>
      <c r="R72" s="512">
        <v>4.1043924247198902</v>
      </c>
      <c r="S72" s="512">
        <v>8.0001198650984477</v>
      </c>
      <c r="T72" s="512">
        <v>6.5570336698137908</v>
      </c>
      <c r="U72" s="512">
        <v>-35.674430129819029</v>
      </c>
      <c r="V72" s="512">
        <v>0.82532907951213019</v>
      </c>
      <c r="W72" s="516">
        <v>7.506512734116022</v>
      </c>
      <c r="X72" s="516">
        <v>0</v>
      </c>
      <c r="Y72" s="516">
        <v>0</v>
      </c>
      <c r="Z72" s="512">
        <v>0</v>
      </c>
      <c r="AA72" s="513">
        <v>-40.274710307198802</v>
      </c>
      <c r="AB72" s="515">
        <v>-2.4161461805552449</v>
      </c>
      <c r="AC72" s="601">
        <v>0</v>
      </c>
      <c r="AD72" s="512">
        <v>0</v>
      </c>
      <c r="AE72" s="512">
        <v>-4.7196692573068049</v>
      </c>
      <c r="AF72" s="512">
        <v>0</v>
      </c>
      <c r="AG72" s="512">
        <v>0</v>
      </c>
      <c r="AH72" s="512">
        <v>0</v>
      </c>
      <c r="AI72" s="512">
        <v>1.6583711868480009</v>
      </c>
      <c r="AJ72" s="512">
        <v>0.64515188990400318</v>
      </c>
      <c r="AK72" s="511">
        <v>0</v>
      </c>
      <c r="AL72" s="516">
        <v>0</v>
      </c>
      <c r="AM72" s="512">
        <v>0</v>
      </c>
      <c r="AN72" s="513">
        <v>0</v>
      </c>
      <c r="AO72" s="513">
        <v>-36.310735582032066</v>
      </c>
      <c r="AP72" s="515">
        <v>0</v>
      </c>
      <c r="AQ72" s="517">
        <v>-115.34541693786588</v>
      </c>
      <c r="AR72" s="79"/>
      <c r="AS72" s="82"/>
    </row>
    <row r="73" spans="1:45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</row>
    <row r="74" spans="1:45" s="83" customFormat="1" ht="15" customHeight="1">
      <c r="A74" s="353" t="s">
        <v>622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77"/>
      <c r="M74" s="350"/>
      <c r="N74" s="350"/>
      <c r="Q74" s="350"/>
      <c r="R74" s="350"/>
      <c r="S74" s="350"/>
      <c r="T74" s="350"/>
      <c r="U74" s="350"/>
      <c r="V74" s="350"/>
      <c r="W74" s="348"/>
      <c r="Y74" s="350"/>
      <c r="Z74" s="350"/>
      <c r="AA74" s="350"/>
      <c r="AB74" s="350"/>
      <c r="AC74" s="350"/>
      <c r="AD74" s="350"/>
      <c r="AE74" s="350"/>
      <c r="AF74" s="350"/>
      <c r="AG74" s="350"/>
      <c r="AH74" s="350"/>
      <c r="AI74" s="350"/>
      <c r="AJ74" s="350"/>
      <c r="AK74" s="350"/>
      <c r="AL74" s="350"/>
      <c r="AM74" s="350"/>
      <c r="AN74" s="350"/>
      <c r="AO74" s="350"/>
      <c r="AP74" s="350"/>
      <c r="AQ74" s="350"/>
      <c r="AS74" s="82"/>
    </row>
    <row r="75" spans="1:45" ht="12.75" customHeight="1">
      <c r="A75" s="378" t="s">
        <v>623</v>
      </c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</row>
    <row r="76" spans="1:45" ht="12.75" customHeight="1">
      <c r="A76" s="379" t="s">
        <v>309</v>
      </c>
      <c r="B76" s="380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</row>
    <row r="77" spans="1:45" ht="12.75" customHeight="1">
      <c r="A77" s="381" t="s">
        <v>310</v>
      </c>
      <c r="B77" s="378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</row>
    <row r="78" spans="1:45" ht="12.75" customHeight="1">
      <c r="A78" s="88" t="s">
        <v>311</v>
      </c>
      <c r="B78" s="378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</row>
    <row r="79" spans="1:45" ht="12.75" customHeight="1">
      <c r="A79" s="382" t="s">
        <v>312</v>
      </c>
      <c r="B79" s="89"/>
      <c r="C79" s="89"/>
      <c r="D79" s="89"/>
      <c r="E79" s="383"/>
      <c r="F79" s="384"/>
      <c r="G79" s="384"/>
      <c r="H79" s="385"/>
      <c r="I79" s="384"/>
      <c r="J79" s="384"/>
      <c r="K79" s="384"/>
      <c r="L79" s="385"/>
      <c r="M79" s="384"/>
      <c r="N79" s="384"/>
      <c r="O79" s="384"/>
      <c r="P79" s="384"/>
      <c r="Q79" s="384"/>
      <c r="R79" s="384"/>
      <c r="S79" s="386"/>
      <c r="T79"/>
      <c r="U79" s="386"/>
      <c r="V79" s="386"/>
      <c r="W79" s="384"/>
      <c r="X79" s="384"/>
      <c r="Y79" s="384"/>
      <c r="Z79" s="384"/>
      <c r="AA79" s="385"/>
      <c r="AB79" s="387"/>
      <c r="AC79" s="384"/>
      <c r="AD79" s="384"/>
      <c r="AE79" s="384"/>
      <c r="AF79" s="384"/>
      <c r="AG79" s="384"/>
      <c r="AH79" s="384"/>
      <c r="AI79" s="384"/>
      <c r="AJ79" s="384"/>
      <c r="AK79" s="384"/>
      <c r="AL79" s="384"/>
      <c r="AM79" s="384"/>
      <c r="AN79" s="384"/>
      <c r="AO79" s="385"/>
      <c r="AP79" s="387"/>
      <c r="AQ79" s="384"/>
    </row>
    <row r="80" spans="1:45" ht="12.75" customHeight="1">
      <c r="A80" s="382" t="s">
        <v>313</v>
      </c>
      <c r="B80" s="89"/>
      <c r="C80" s="89"/>
      <c r="D80" s="89"/>
      <c r="E80" s="383"/>
      <c r="F80" s="384"/>
      <c r="G80" s="384"/>
      <c r="H80" s="385"/>
      <c r="I80" s="384"/>
      <c r="J80" s="384"/>
      <c r="K80" s="384"/>
      <c r="L80" s="385"/>
      <c r="M80" s="384"/>
      <c r="N80" s="384"/>
      <c r="O80" s="384"/>
      <c r="P80" s="384"/>
      <c r="Q80" s="384"/>
      <c r="R80" s="384"/>
      <c r="S80" s="386"/>
      <c r="T80"/>
      <c r="U80" s="386"/>
      <c r="V80" s="386"/>
      <c r="W80" s="384"/>
      <c r="X80" s="384"/>
      <c r="Y80" s="384"/>
      <c r="Z80" s="384"/>
      <c r="AA80" s="385"/>
      <c r="AB80" s="387"/>
      <c r="AC80" s="384"/>
      <c r="AD80" s="384"/>
      <c r="AE80" s="384"/>
      <c r="AF80" s="384"/>
      <c r="AG80" s="384"/>
      <c r="AH80" s="384"/>
      <c r="AI80" s="384"/>
      <c r="AJ80" s="384"/>
      <c r="AK80" s="384"/>
      <c r="AL80" s="384"/>
      <c r="AM80" s="384"/>
      <c r="AN80" s="384"/>
      <c r="AO80" s="385"/>
      <c r="AP80" s="387"/>
      <c r="AQ80" s="384"/>
    </row>
  </sheetData>
  <pageMargins left="0.19685039370078741" right="0.19685039370078741" top="0.59055118110236227" bottom="0.78740157480314965" header="0.31496062992125984" footer="0.19685039370078741"/>
  <pageSetup paperSize="9" scale="40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2A01-42A4-4D7B-9CC4-92564CF57C7E}">
  <sheetPr codeName="Sheet15">
    <tabColor theme="5" tint="0.59999389629810485"/>
    <pageSetUpPr fitToPage="1"/>
  </sheetPr>
  <dimension ref="A1:O80"/>
  <sheetViews>
    <sheetView zoomScaleNormal="100" zoomScaleSheetLayoutView="100" workbookViewId="0">
      <selection activeCell="D72" sqref="D72"/>
    </sheetView>
  </sheetViews>
  <sheetFormatPr defaultRowHeight="15" customHeight="1"/>
  <cols>
    <col min="1" max="1" width="18" style="202" customWidth="1"/>
    <col min="2" max="15" width="13.7265625" style="188" customWidth="1"/>
    <col min="16" max="241" width="9.1796875" style="188"/>
    <col min="242" max="242" width="18" style="188" customWidth="1"/>
    <col min="243" max="256" width="13.7265625" style="188" customWidth="1"/>
    <col min="257" max="497" width="9.1796875" style="188"/>
    <col min="498" max="498" width="18" style="188" customWidth="1"/>
    <col min="499" max="512" width="13.7265625" style="188" customWidth="1"/>
    <col min="513" max="753" width="9.1796875" style="188"/>
    <col min="754" max="754" width="18" style="188" customWidth="1"/>
    <col min="755" max="768" width="13.7265625" style="188" customWidth="1"/>
    <col min="769" max="1009" width="9.1796875" style="188"/>
    <col min="1010" max="1010" width="18" style="188" customWidth="1"/>
    <col min="1011" max="1024" width="13.7265625" style="188" customWidth="1"/>
    <col min="1025" max="1265" width="9.1796875" style="188"/>
    <col min="1266" max="1266" width="18" style="188" customWidth="1"/>
    <col min="1267" max="1280" width="13.7265625" style="188" customWidth="1"/>
    <col min="1281" max="1521" width="9.1796875" style="188"/>
    <col min="1522" max="1522" width="18" style="188" customWidth="1"/>
    <col min="1523" max="1536" width="13.7265625" style="188" customWidth="1"/>
    <col min="1537" max="1777" width="9.1796875" style="188"/>
    <col min="1778" max="1778" width="18" style="188" customWidth="1"/>
    <col min="1779" max="1792" width="13.7265625" style="188" customWidth="1"/>
    <col min="1793" max="2033" width="9.1796875" style="188"/>
    <col min="2034" max="2034" width="18" style="188" customWidth="1"/>
    <col min="2035" max="2048" width="13.7265625" style="188" customWidth="1"/>
    <col min="2049" max="2289" width="9.1796875" style="188"/>
    <col min="2290" max="2290" width="18" style="188" customWidth="1"/>
    <col min="2291" max="2304" width="13.7265625" style="188" customWidth="1"/>
    <col min="2305" max="2545" width="9.1796875" style="188"/>
    <col min="2546" max="2546" width="18" style="188" customWidth="1"/>
    <col min="2547" max="2560" width="13.7265625" style="188" customWidth="1"/>
    <col min="2561" max="2801" width="9.1796875" style="188"/>
    <col min="2802" max="2802" width="18" style="188" customWidth="1"/>
    <col min="2803" max="2816" width="13.7265625" style="188" customWidth="1"/>
    <col min="2817" max="3057" width="9.1796875" style="188"/>
    <col min="3058" max="3058" width="18" style="188" customWidth="1"/>
    <col min="3059" max="3072" width="13.7265625" style="188" customWidth="1"/>
    <col min="3073" max="3313" width="9.1796875" style="188"/>
    <col min="3314" max="3314" width="18" style="188" customWidth="1"/>
    <col min="3315" max="3328" width="13.7265625" style="188" customWidth="1"/>
    <col min="3329" max="3569" width="9.1796875" style="188"/>
    <col min="3570" max="3570" width="18" style="188" customWidth="1"/>
    <col min="3571" max="3584" width="13.7265625" style="188" customWidth="1"/>
    <col min="3585" max="3825" width="9.1796875" style="188"/>
    <col min="3826" max="3826" width="18" style="188" customWidth="1"/>
    <col min="3827" max="3840" width="13.7265625" style="188" customWidth="1"/>
    <col min="3841" max="4081" width="9.1796875" style="188"/>
    <col min="4082" max="4082" width="18" style="188" customWidth="1"/>
    <col min="4083" max="4096" width="13.7265625" style="188" customWidth="1"/>
    <col min="4097" max="4337" width="9.1796875" style="188"/>
    <col min="4338" max="4338" width="18" style="188" customWidth="1"/>
    <col min="4339" max="4352" width="13.7265625" style="188" customWidth="1"/>
    <col min="4353" max="4593" width="9.1796875" style="188"/>
    <col min="4594" max="4594" width="18" style="188" customWidth="1"/>
    <col min="4595" max="4608" width="13.7265625" style="188" customWidth="1"/>
    <col min="4609" max="4849" width="9.1796875" style="188"/>
    <col min="4850" max="4850" width="18" style="188" customWidth="1"/>
    <col min="4851" max="4864" width="13.7265625" style="188" customWidth="1"/>
    <col min="4865" max="5105" width="9.1796875" style="188"/>
    <col min="5106" max="5106" width="18" style="188" customWidth="1"/>
    <col min="5107" max="5120" width="13.7265625" style="188" customWidth="1"/>
    <col min="5121" max="5361" width="9.1796875" style="188"/>
    <col min="5362" max="5362" width="18" style="188" customWidth="1"/>
    <col min="5363" max="5376" width="13.7265625" style="188" customWidth="1"/>
    <col min="5377" max="5617" width="9.1796875" style="188"/>
    <col min="5618" max="5618" width="18" style="188" customWidth="1"/>
    <col min="5619" max="5632" width="13.7265625" style="188" customWidth="1"/>
    <col min="5633" max="5873" width="9.1796875" style="188"/>
    <col min="5874" max="5874" width="18" style="188" customWidth="1"/>
    <col min="5875" max="5888" width="13.7265625" style="188" customWidth="1"/>
    <col min="5889" max="6129" width="9.1796875" style="188"/>
    <col min="6130" max="6130" width="18" style="188" customWidth="1"/>
    <col min="6131" max="6144" width="13.7265625" style="188" customWidth="1"/>
    <col min="6145" max="6385" width="9.1796875" style="188"/>
    <col min="6386" max="6386" width="18" style="188" customWidth="1"/>
    <col min="6387" max="6400" width="13.7265625" style="188" customWidth="1"/>
    <col min="6401" max="6641" width="9.1796875" style="188"/>
    <col min="6642" max="6642" width="18" style="188" customWidth="1"/>
    <col min="6643" max="6656" width="13.7265625" style="188" customWidth="1"/>
    <col min="6657" max="6897" width="9.1796875" style="188"/>
    <col min="6898" max="6898" width="18" style="188" customWidth="1"/>
    <col min="6899" max="6912" width="13.7265625" style="188" customWidth="1"/>
    <col min="6913" max="7153" width="9.1796875" style="188"/>
    <col min="7154" max="7154" width="18" style="188" customWidth="1"/>
    <col min="7155" max="7168" width="13.7265625" style="188" customWidth="1"/>
    <col min="7169" max="7409" width="9.1796875" style="188"/>
    <col min="7410" max="7410" width="18" style="188" customWidth="1"/>
    <col min="7411" max="7424" width="13.7265625" style="188" customWidth="1"/>
    <col min="7425" max="7665" width="9.1796875" style="188"/>
    <col min="7666" max="7666" width="18" style="188" customWidth="1"/>
    <col min="7667" max="7680" width="13.7265625" style="188" customWidth="1"/>
    <col min="7681" max="7921" width="9.1796875" style="188"/>
    <col min="7922" max="7922" width="18" style="188" customWidth="1"/>
    <col min="7923" max="7936" width="13.7265625" style="188" customWidth="1"/>
    <col min="7937" max="8177" width="9.1796875" style="188"/>
    <col min="8178" max="8178" width="18" style="188" customWidth="1"/>
    <col min="8179" max="8192" width="13.7265625" style="188" customWidth="1"/>
    <col min="8193" max="8433" width="9.1796875" style="188"/>
    <col min="8434" max="8434" width="18" style="188" customWidth="1"/>
    <col min="8435" max="8448" width="13.7265625" style="188" customWidth="1"/>
    <col min="8449" max="8689" width="9.1796875" style="188"/>
    <col min="8690" max="8690" width="18" style="188" customWidth="1"/>
    <col min="8691" max="8704" width="13.7265625" style="188" customWidth="1"/>
    <col min="8705" max="8945" width="9.1796875" style="188"/>
    <col min="8946" max="8946" width="18" style="188" customWidth="1"/>
    <col min="8947" max="8960" width="13.7265625" style="188" customWidth="1"/>
    <col min="8961" max="9201" width="9.1796875" style="188"/>
    <col min="9202" max="9202" width="18" style="188" customWidth="1"/>
    <col min="9203" max="9216" width="13.7265625" style="188" customWidth="1"/>
    <col min="9217" max="9457" width="9.1796875" style="188"/>
    <col min="9458" max="9458" width="18" style="188" customWidth="1"/>
    <col min="9459" max="9472" width="13.7265625" style="188" customWidth="1"/>
    <col min="9473" max="9713" width="9.1796875" style="188"/>
    <col min="9714" max="9714" width="18" style="188" customWidth="1"/>
    <col min="9715" max="9728" width="13.7265625" style="188" customWidth="1"/>
    <col min="9729" max="9969" width="9.1796875" style="188"/>
    <col min="9970" max="9970" width="18" style="188" customWidth="1"/>
    <col min="9971" max="9984" width="13.7265625" style="188" customWidth="1"/>
    <col min="9985" max="10225" width="9.1796875" style="188"/>
    <col min="10226" max="10226" width="18" style="188" customWidth="1"/>
    <col min="10227" max="10240" width="13.7265625" style="188" customWidth="1"/>
    <col min="10241" max="10481" width="9.1796875" style="188"/>
    <col min="10482" max="10482" width="18" style="188" customWidth="1"/>
    <col min="10483" max="10496" width="13.7265625" style="188" customWidth="1"/>
    <col min="10497" max="10737" width="9.1796875" style="188"/>
    <col min="10738" max="10738" width="18" style="188" customWidth="1"/>
    <col min="10739" max="10752" width="13.7265625" style="188" customWidth="1"/>
    <col min="10753" max="10993" width="9.1796875" style="188"/>
    <col min="10994" max="10994" width="18" style="188" customWidth="1"/>
    <col min="10995" max="11008" width="13.7265625" style="188" customWidth="1"/>
    <col min="11009" max="11249" width="9.1796875" style="188"/>
    <col min="11250" max="11250" width="18" style="188" customWidth="1"/>
    <col min="11251" max="11264" width="13.7265625" style="188" customWidth="1"/>
    <col min="11265" max="11505" width="9.1796875" style="188"/>
    <col min="11506" max="11506" width="18" style="188" customWidth="1"/>
    <col min="11507" max="11520" width="13.7265625" style="188" customWidth="1"/>
    <col min="11521" max="11761" width="9.1796875" style="188"/>
    <col min="11762" max="11762" width="18" style="188" customWidth="1"/>
    <col min="11763" max="11776" width="13.7265625" style="188" customWidth="1"/>
    <col min="11777" max="12017" width="9.1796875" style="188"/>
    <col min="12018" max="12018" width="18" style="188" customWidth="1"/>
    <col min="12019" max="12032" width="13.7265625" style="188" customWidth="1"/>
    <col min="12033" max="12273" width="9.1796875" style="188"/>
    <col min="12274" max="12274" width="18" style="188" customWidth="1"/>
    <col min="12275" max="12288" width="13.7265625" style="188" customWidth="1"/>
    <col min="12289" max="12529" width="9.1796875" style="188"/>
    <col min="12530" max="12530" width="18" style="188" customWidth="1"/>
    <col min="12531" max="12544" width="13.7265625" style="188" customWidth="1"/>
    <col min="12545" max="12785" width="9.1796875" style="188"/>
    <col min="12786" max="12786" width="18" style="188" customWidth="1"/>
    <col min="12787" max="12800" width="13.7265625" style="188" customWidth="1"/>
    <col min="12801" max="13041" width="9.1796875" style="188"/>
    <col min="13042" max="13042" width="18" style="188" customWidth="1"/>
    <col min="13043" max="13056" width="13.7265625" style="188" customWidth="1"/>
    <col min="13057" max="13297" width="9.1796875" style="188"/>
    <col min="13298" max="13298" width="18" style="188" customWidth="1"/>
    <col min="13299" max="13312" width="13.7265625" style="188" customWidth="1"/>
    <col min="13313" max="13553" width="9.1796875" style="188"/>
    <col min="13554" max="13554" width="18" style="188" customWidth="1"/>
    <col min="13555" max="13568" width="13.7265625" style="188" customWidth="1"/>
    <col min="13569" max="13809" width="9.1796875" style="188"/>
    <col min="13810" max="13810" width="18" style="188" customWidth="1"/>
    <col min="13811" max="13824" width="13.7265625" style="188" customWidth="1"/>
    <col min="13825" max="14065" width="9.1796875" style="188"/>
    <col min="14066" max="14066" width="18" style="188" customWidth="1"/>
    <col min="14067" max="14080" width="13.7265625" style="188" customWidth="1"/>
    <col min="14081" max="14321" width="9.1796875" style="188"/>
    <col min="14322" max="14322" width="18" style="188" customWidth="1"/>
    <col min="14323" max="14336" width="13.7265625" style="188" customWidth="1"/>
    <col min="14337" max="14577" width="9.1796875" style="188"/>
    <col min="14578" max="14578" width="18" style="188" customWidth="1"/>
    <col min="14579" max="14592" width="13.7265625" style="188" customWidth="1"/>
    <col min="14593" max="14833" width="9.1796875" style="188"/>
    <col min="14834" max="14834" width="18" style="188" customWidth="1"/>
    <col min="14835" max="14848" width="13.7265625" style="188" customWidth="1"/>
    <col min="14849" max="15089" width="9.1796875" style="188"/>
    <col min="15090" max="15090" width="18" style="188" customWidth="1"/>
    <col min="15091" max="15104" width="13.7265625" style="188" customWidth="1"/>
    <col min="15105" max="15345" width="9.1796875" style="188"/>
    <col min="15346" max="15346" width="18" style="188" customWidth="1"/>
    <col min="15347" max="15360" width="13.7265625" style="188" customWidth="1"/>
    <col min="15361" max="15601" width="9.1796875" style="188"/>
    <col min="15602" max="15602" width="18" style="188" customWidth="1"/>
    <col min="15603" max="15616" width="13.7265625" style="188" customWidth="1"/>
    <col min="15617" max="15857" width="9.1796875" style="188"/>
    <col min="15858" max="15858" width="18" style="188" customWidth="1"/>
    <col min="15859" max="15872" width="13.7265625" style="188" customWidth="1"/>
    <col min="15873" max="16113" width="9.1796875" style="188"/>
    <col min="16114" max="16114" width="18" style="188" customWidth="1"/>
    <col min="16115" max="16128" width="13.7265625" style="188" customWidth="1"/>
    <col min="16129" max="16369" width="9.1796875" style="188"/>
    <col min="16370" max="16384" width="9.1796875" style="188" customWidth="1"/>
  </cols>
  <sheetData>
    <row r="1" spans="1:15" ht="15" customHeight="1">
      <c r="A1" s="616" t="s">
        <v>445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7"/>
      <c r="M1" s="617"/>
      <c r="N1" s="617"/>
      <c r="O1" s="617"/>
    </row>
    <row r="2" spans="1:15" ht="15" customHeight="1">
      <c r="A2" s="189" t="s">
        <v>446</v>
      </c>
      <c r="B2" s="190" t="s">
        <v>447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91"/>
      <c r="O2" s="192" t="s">
        <v>448</v>
      </c>
    </row>
    <row r="3" spans="1:15" ht="33.75" customHeight="1">
      <c r="A3" s="193" t="s">
        <v>449</v>
      </c>
      <c r="B3" s="194" t="s">
        <v>443</v>
      </c>
      <c r="C3" s="194" t="s">
        <v>442</v>
      </c>
      <c r="D3" s="194" t="s">
        <v>450</v>
      </c>
      <c r="E3" s="194" t="s">
        <v>444</v>
      </c>
      <c r="F3" s="194" t="s">
        <v>451</v>
      </c>
      <c r="G3" s="194" t="s">
        <v>452</v>
      </c>
      <c r="H3" s="194" t="s">
        <v>453</v>
      </c>
      <c r="I3" s="194" t="s">
        <v>454</v>
      </c>
      <c r="J3" s="194" t="s">
        <v>455</v>
      </c>
      <c r="K3" s="194" t="s">
        <v>456</v>
      </c>
      <c r="L3" s="194" t="s">
        <v>457</v>
      </c>
      <c r="M3" s="194" t="s">
        <v>458</v>
      </c>
      <c r="N3" s="194" t="s">
        <v>65</v>
      </c>
      <c r="O3" s="194" t="s">
        <v>459</v>
      </c>
    </row>
    <row r="4" spans="1:15" ht="15" customHeight="1">
      <c r="A4" s="195" t="s">
        <v>321</v>
      </c>
      <c r="B4" s="196">
        <v>435</v>
      </c>
      <c r="C4" s="196">
        <v>327</v>
      </c>
      <c r="D4" s="196">
        <v>363</v>
      </c>
      <c r="E4" s="196">
        <v>2588</v>
      </c>
      <c r="F4" s="196">
        <v>870</v>
      </c>
      <c r="G4" s="196">
        <v>706</v>
      </c>
      <c r="H4" s="196">
        <v>3069</v>
      </c>
      <c r="I4" s="196">
        <v>239</v>
      </c>
      <c r="J4" s="196">
        <v>221</v>
      </c>
      <c r="K4" s="196">
        <v>1340</v>
      </c>
      <c r="L4" s="196">
        <v>962</v>
      </c>
      <c r="M4" s="196">
        <v>680</v>
      </c>
      <c r="N4" s="196">
        <v>853</v>
      </c>
      <c r="O4" s="197">
        <v>591</v>
      </c>
    </row>
    <row r="5" spans="1:15" ht="15" customHeight="1">
      <c r="A5" s="195" t="s">
        <v>460</v>
      </c>
      <c r="B5" s="196">
        <v>362</v>
      </c>
      <c r="C5" s="196">
        <v>1166</v>
      </c>
      <c r="D5" s="196">
        <v>334</v>
      </c>
      <c r="E5" s="196">
        <v>4180</v>
      </c>
      <c r="F5" s="196">
        <v>1352</v>
      </c>
      <c r="G5" s="196">
        <v>572</v>
      </c>
      <c r="H5" s="196">
        <v>2697</v>
      </c>
      <c r="I5" s="196">
        <v>664</v>
      </c>
      <c r="J5" s="196">
        <v>370</v>
      </c>
      <c r="K5" s="196">
        <v>1302</v>
      </c>
      <c r="L5" s="196">
        <v>1963</v>
      </c>
      <c r="M5" s="196">
        <v>1330</v>
      </c>
      <c r="N5" s="196">
        <v>915</v>
      </c>
      <c r="O5" s="197">
        <v>903</v>
      </c>
    </row>
    <row r="6" spans="1:15" ht="15" customHeight="1">
      <c r="A6" s="195" t="s">
        <v>461</v>
      </c>
      <c r="B6" s="196">
        <v>265</v>
      </c>
      <c r="C6" s="196">
        <v>514</v>
      </c>
      <c r="D6" s="196">
        <v>346</v>
      </c>
      <c r="E6" s="196">
        <v>5219</v>
      </c>
      <c r="F6" s="196">
        <v>1398</v>
      </c>
      <c r="G6" s="196">
        <v>1189</v>
      </c>
      <c r="H6" s="196">
        <v>3828</v>
      </c>
      <c r="I6" s="196">
        <v>368</v>
      </c>
      <c r="J6" s="196">
        <v>424</v>
      </c>
      <c r="K6" s="196">
        <v>1782</v>
      </c>
      <c r="L6" s="196">
        <v>2478</v>
      </c>
      <c r="M6" s="196">
        <v>1011</v>
      </c>
      <c r="N6" s="196">
        <v>1420</v>
      </c>
      <c r="O6" s="197">
        <v>675</v>
      </c>
    </row>
    <row r="7" spans="1:15" ht="15" customHeight="1">
      <c r="A7" s="195" t="s">
        <v>337</v>
      </c>
      <c r="B7" s="196">
        <v>224</v>
      </c>
      <c r="C7" s="196">
        <v>366</v>
      </c>
      <c r="D7" s="196">
        <v>371</v>
      </c>
      <c r="E7" s="196">
        <v>4223</v>
      </c>
      <c r="F7" s="196">
        <v>986</v>
      </c>
      <c r="G7" s="196">
        <v>617</v>
      </c>
      <c r="H7" s="196">
        <v>7106</v>
      </c>
      <c r="I7" s="196">
        <v>616</v>
      </c>
      <c r="J7" s="196">
        <v>287</v>
      </c>
      <c r="K7" s="196">
        <v>2342</v>
      </c>
      <c r="L7" s="196">
        <v>1406</v>
      </c>
      <c r="M7" s="196">
        <v>1271</v>
      </c>
      <c r="N7" s="196">
        <v>463</v>
      </c>
      <c r="O7" s="197">
        <v>615</v>
      </c>
    </row>
    <row r="8" spans="1:15" ht="15" customHeight="1">
      <c r="A8" s="195" t="s">
        <v>339</v>
      </c>
      <c r="B8" s="196">
        <v>284</v>
      </c>
      <c r="C8" s="196">
        <v>275</v>
      </c>
      <c r="D8" s="196">
        <v>278</v>
      </c>
      <c r="E8" s="196">
        <v>2636</v>
      </c>
      <c r="F8" s="196">
        <v>1156</v>
      </c>
      <c r="G8" s="196">
        <v>666</v>
      </c>
      <c r="H8" s="196">
        <v>1486</v>
      </c>
      <c r="I8" s="196">
        <v>303</v>
      </c>
      <c r="J8" s="196">
        <v>233</v>
      </c>
      <c r="K8" s="196">
        <v>1352</v>
      </c>
      <c r="L8" s="196">
        <v>976</v>
      </c>
      <c r="M8" s="196">
        <v>479</v>
      </c>
      <c r="N8" s="196">
        <v>236</v>
      </c>
      <c r="O8" s="197">
        <v>500</v>
      </c>
    </row>
    <row r="9" spans="1:15" ht="15" customHeight="1">
      <c r="A9" s="195" t="s">
        <v>341</v>
      </c>
      <c r="B9" s="196">
        <v>324</v>
      </c>
      <c r="C9" s="196">
        <v>255</v>
      </c>
      <c r="D9" s="196">
        <v>267</v>
      </c>
      <c r="E9" s="196">
        <v>5795</v>
      </c>
      <c r="F9" s="196">
        <v>884</v>
      </c>
      <c r="G9" s="196">
        <v>567</v>
      </c>
      <c r="H9" s="196">
        <v>4316</v>
      </c>
      <c r="I9" s="196">
        <v>660</v>
      </c>
      <c r="J9" s="196">
        <v>252</v>
      </c>
      <c r="K9" s="196">
        <v>1516</v>
      </c>
      <c r="L9" s="196">
        <v>2261</v>
      </c>
      <c r="M9" s="196">
        <v>1735</v>
      </c>
      <c r="N9" s="196">
        <v>1645</v>
      </c>
      <c r="O9" s="197">
        <v>588</v>
      </c>
    </row>
    <row r="10" spans="1:15" ht="15" customHeight="1">
      <c r="A10" s="195" t="s">
        <v>347</v>
      </c>
      <c r="B10" s="196">
        <v>353</v>
      </c>
      <c r="C10" s="196">
        <v>251</v>
      </c>
      <c r="D10" s="196">
        <v>268</v>
      </c>
      <c r="E10" s="196">
        <v>1167</v>
      </c>
      <c r="F10" s="196">
        <v>1151</v>
      </c>
      <c r="G10" s="196">
        <v>648</v>
      </c>
      <c r="H10" s="196">
        <v>5865</v>
      </c>
      <c r="I10" s="196">
        <v>424</v>
      </c>
      <c r="J10" s="196">
        <v>403</v>
      </c>
      <c r="K10" s="196">
        <v>2019</v>
      </c>
      <c r="L10" s="196">
        <v>906</v>
      </c>
      <c r="M10" s="196">
        <v>707</v>
      </c>
      <c r="N10" s="196">
        <v>196</v>
      </c>
      <c r="O10" s="197">
        <v>627</v>
      </c>
    </row>
    <row r="11" spans="1:15" ht="15" customHeight="1">
      <c r="A11" s="195" t="s">
        <v>349</v>
      </c>
      <c r="B11" s="196">
        <v>305</v>
      </c>
      <c r="C11" s="196">
        <v>555</v>
      </c>
      <c r="D11" s="196">
        <v>319</v>
      </c>
      <c r="E11" s="196">
        <v>4695</v>
      </c>
      <c r="F11" s="196">
        <v>1204</v>
      </c>
      <c r="G11" s="196">
        <v>591</v>
      </c>
      <c r="H11" s="196">
        <v>4248</v>
      </c>
      <c r="I11" s="196">
        <v>342</v>
      </c>
      <c r="J11" s="196">
        <v>200</v>
      </c>
      <c r="K11" s="196">
        <v>1450</v>
      </c>
      <c r="L11" s="196">
        <v>1513</v>
      </c>
      <c r="M11" s="196">
        <v>1790</v>
      </c>
      <c r="N11" s="196">
        <v>775</v>
      </c>
      <c r="O11" s="197">
        <v>666</v>
      </c>
    </row>
    <row r="12" spans="1:15" ht="15" customHeight="1">
      <c r="A12" s="195" t="s">
        <v>353</v>
      </c>
      <c r="B12" s="196">
        <v>235</v>
      </c>
      <c r="C12" s="196">
        <v>383</v>
      </c>
      <c r="D12" s="196">
        <v>297</v>
      </c>
      <c r="E12" s="196">
        <v>4062</v>
      </c>
      <c r="F12" s="196">
        <v>901</v>
      </c>
      <c r="G12" s="196">
        <v>522</v>
      </c>
      <c r="H12" s="196">
        <v>1786</v>
      </c>
      <c r="I12" s="196">
        <v>539</v>
      </c>
      <c r="J12" s="196">
        <v>277</v>
      </c>
      <c r="K12" s="196">
        <v>1525</v>
      </c>
      <c r="L12" s="196">
        <v>1636</v>
      </c>
      <c r="M12" s="196">
        <v>1001</v>
      </c>
      <c r="N12" s="196">
        <v>270</v>
      </c>
      <c r="O12" s="197">
        <v>537</v>
      </c>
    </row>
    <row r="13" spans="1:15" ht="15" customHeight="1">
      <c r="A13" s="195" t="s">
        <v>357</v>
      </c>
      <c r="B13" s="196">
        <v>301</v>
      </c>
      <c r="C13" s="196">
        <v>438</v>
      </c>
      <c r="D13" s="196">
        <v>222</v>
      </c>
      <c r="E13" s="196">
        <v>1949</v>
      </c>
      <c r="F13" s="196">
        <v>960</v>
      </c>
      <c r="G13" s="196">
        <v>663</v>
      </c>
      <c r="H13" s="196">
        <v>1632</v>
      </c>
      <c r="I13" s="196">
        <v>707</v>
      </c>
      <c r="J13" s="196">
        <v>312</v>
      </c>
      <c r="K13" s="196">
        <v>1585</v>
      </c>
      <c r="L13" s="196">
        <v>2469</v>
      </c>
      <c r="M13" s="196">
        <v>372</v>
      </c>
      <c r="N13" s="196">
        <v>139</v>
      </c>
      <c r="O13" s="197">
        <v>580</v>
      </c>
    </row>
    <row r="14" spans="1:15" ht="15" customHeight="1">
      <c r="A14" s="195" t="s">
        <v>367</v>
      </c>
      <c r="B14" s="196">
        <v>298</v>
      </c>
      <c r="C14" s="196">
        <v>533</v>
      </c>
      <c r="D14" s="196">
        <v>243</v>
      </c>
      <c r="E14" s="196">
        <v>2221</v>
      </c>
      <c r="F14" s="196">
        <v>1434</v>
      </c>
      <c r="G14" s="196">
        <v>621</v>
      </c>
      <c r="H14" s="196">
        <v>3215</v>
      </c>
      <c r="I14" s="196">
        <v>1025</v>
      </c>
      <c r="J14" s="196">
        <v>256</v>
      </c>
      <c r="K14" s="196">
        <v>1154</v>
      </c>
      <c r="L14" s="196">
        <v>1960</v>
      </c>
      <c r="M14" s="196">
        <v>1053</v>
      </c>
      <c r="N14" s="196">
        <v>637</v>
      </c>
      <c r="O14" s="197">
        <v>595</v>
      </c>
    </row>
    <row r="15" spans="1:15" ht="15" customHeight="1">
      <c r="A15" s="195" t="s">
        <v>369</v>
      </c>
      <c r="B15" s="196">
        <v>294</v>
      </c>
      <c r="C15" s="196">
        <v>516</v>
      </c>
      <c r="D15" s="196">
        <v>269</v>
      </c>
      <c r="E15" s="196">
        <v>2763</v>
      </c>
      <c r="F15" s="196">
        <v>807</v>
      </c>
      <c r="G15" s="196">
        <v>651</v>
      </c>
      <c r="H15" s="196">
        <v>2074</v>
      </c>
      <c r="I15" s="196">
        <v>456</v>
      </c>
      <c r="J15" s="196">
        <v>360</v>
      </c>
      <c r="K15" s="196">
        <v>1289</v>
      </c>
      <c r="L15" s="196">
        <v>1459</v>
      </c>
      <c r="M15" s="196">
        <v>689</v>
      </c>
      <c r="N15" s="196">
        <v>715</v>
      </c>
      <c r="O15" s="197">
        <v>526</v>
      </c>
    </row>
    <row r="16" spans="1:15" ht="15" customHeight="1">
      <c r="A16" s="195" t="s">
        <v>371</v>
      </c>
      <c r="B16" s="196">
        <v>218</v>
      </c>
      <c r="C16" s="196">
        <v>299</v>
      </c>
      <c r="D16" s="196">
        <v>286</v>
      </c>
      <c r="E16" s="196">
        <v>3896</v>
      </c>
      <c r="F16" s="196">
        <v>646</v>
      </c>
      <c r="G16" s="196">
        <v>424</v>
      </c>
      <c r="H16" s="196">
        <v>2139</v>
      </c>
      <c r="I16" s="196">
        <v>518</v>
      </c>
      <c r="J16" s="196">
        <v>306</v>
      </c>
      <c r="K16" s="196">
        <v>1731</v>
      </c>
      <c r="L16" s="196">
        <v>1701</v>
      </c>
      <c r="M16" s="196">
        <v>778</v>
      </c>
      <c r="N16" s="196">
        <v>280</v>
      </c>
      <c r="O16" s="197">
        <v>495</v>
      </c>
    </row>
    <row r="17" spans="1:15" ht="15" customHeight="1">
      <c r="A17" s="195" t="s">
        <v>325</v>
      </c>
      <c r="B17" s="196">
        <v>221</v>
      </c>
      <c r="C17" s="196">
        <v>482</v>
      </c>
      <c r="D17" s="196">
        <v>293</v>
      </c>
      <c r="E17" s="196">
        <v>2231</v>
      </c>
      <c r="F17" s="196">
        <v>960</v>
      </c>
      <c r="G17" s="196">
        <v>431</v>
      </c>
      <c r="H17" s="196">
        <v>2336</v>
      </c>
      <c r="I17" s="196">
        <v>200</v>
      </c>
      <c r="J17" s="196">
        <v>257</v>
      </c>
      <c r="K17" s="196">
        <v>620</v>
      </c>
      <c r="L17" s="196">
        <v>986</v>
      </c>
      <c r="M17" s="196">
        <v>503</v>
      </c>
      <c r="N17" s="196">
        <v>492</v>
      </c>
      <c r="O17" s="197">
        <v>576</v>
      </c>
    </row>
    <row r="18" spans="1:15" ht="15" customHeight="1">
      <c r="A18" s="195" t="s">
        <v>462</v>
      </c>
      <c r="B18" s="196">
        <v>375</v>
      </c>
      <c r="C18" s="196">
        <v>703</v>
      </c>
      <c r="D18" s="196">
        <v>214</v>
      </c>
      <c r="E18" s="196">
        <v>401</v>
      </c>
      <c r="F18" s="196">
        <v>1262</v>
      </c>
      <c r="G18" s="196">
        <v>414</v>
      </c>
      <c r="H18" s="196">
        <v>2699</v>
      </c>
      <c r="I18" s="196">
        <v>172</v>
      </c>
      <c r="J18" s="196">
        <v>132</v>
      </c>
      <c r="K18" s="198" t="s">
        <v>463</v>
      </c>
      <c r="L18" s="196">
        <v>736</v>
      </c>
      <c r="M18" s="196">
        <v>852</v>
      </c>
      <c r="N18" s="196">
        <v>533</v>
      </c>
      <c r="O18" s="197">
        <v>557</v>
      </c>
    </row>
    <row r="19" spans="1:15" ht="15" customHeight="1">
      <c r="A19" s="195" t="s">
        <v>464</v>
      </c>
      <c r="B19" s="196">
        <v>289</v>
      </c>
      <c r="C19" s="196">
        <v>600</v>
      </c>
      <c r="D19" s="196">
        <v>275</v>
      </c>
      <c r="E19" s="196">
        <v>3339</v>
      </c>
      <c r="F19" s="196">
        <v>968</v>
      </c>
      <c r="G19" s="196">
        <v>475</v>
      </c>
      <c r="H19" s="196">
        <v>3136</v>
      </c>
      <c r="I19" s="196">
        <v>497</v>
      </c>
      <c r="J19" s="196">
        <v>339</v>
      </c>
      <c r="K19" s="196">
        <v>1307</v>
      </c>
      <c r="L19" s="196">
        <v>1501</v>
      </c>
      <c r="M19" s="196">
        <v>829</v>
      </c>
      <c r="N19" s="196">
        <v>711</v>
      </c>
      <c r="O19" s="197">
        <v>581</v>
      </c>
    </row>
    <row r="20" spans="1:15" ht="15" customHeight="1">
      <c r="A20" s="195" t="s">
        <v>335</v>
      </c>
      <c r="B20" s="196">
        <v>265</v>
      </c>
      <c r="C20" s="196">
        <v>281</v>
      </c>
      <c r="D20" s="196">
        <v>276</v>
      </c>
      <c r="E20" s="196">
        <v>2649</v>
      </c>
      <c r="F20" s="196">
        <v>680</v>
      </c>
      <c r="G20" s="196">
        <v>304</v>
      </c>
      <c r="H20" s="196">
        <v>3571</v>
      </c>
      <c r="I20" s="196">
        <v>389</v>
      </c>
      <c r="J20" s="196">
        <v>269</v>
      </c>
      <c r="K20" s="196">
        <v>748</v>
      </c>
      <c r="L20" s="196">
        <v>1023</v>
      </c>
      <c r="M20" s="196">
        <v>467</v>
      </c>
      <c r="N20" s="196">
        <v>328</v>
      </c>
      <c r="O20" s="197">
        <v>493</v>
      </c>
    </row>
    <row r="21" spans="1:15" ht="15" customHeight="1">
      <c r="A21" s="195" t="s">
        <v>465</v>
      </c>
      <c r="B21" s="196">
        <v>253</v>
      </c>
      <c r="C21" s="196">
        <v>500</v>
      </c>
      <c r="D21" s="196">
        <v>268</v>
      </c>
      <c r="E21" s="196">
        <v>7630</v>
      </c>
      <c r="F21" s="196">
        <v>945</v>
      </c>
      <c r="G21" s="196">
        <v>395</v>
      </c>
      <c r="H21" s="196">
        <v>1454</v>
      </c>
      <c r="I21" s="196">
        <v>496</v>
      </c>
      <c r="J21" s="196">
        <v>467</v>
      </c>
      <c r="K21" s="196">
        <v>1521</v>
      </c>
      <c r="L21" s="196">
        <v>854</v>
      </c>
      <c r="M21" s="196">
        <v>677</v>
      </c>
      <c r="N21" s="196">
        <v>3383</v>
      </c>
      <c r="O21" s="197">
        <v>552</v>
      </c>
    </row>
    <row r="22" spans="1:15" ht="15" customHeight="1">
      <c r="A22" s="195" t="s">
        <v>466</v>
      </c>
      <c r="B22" s="196">
        <v>287</v>
      </c>
      <c r="C22" s="196">
        <v>445</v>
      </c>
      <c r="D22" s="196">
        <v>288</v>
      </c>
      <c r="E22" s="196">
        <v>4688</v>
      </c>
      <c r="F22" s="196">
        <v>1153</v>
      </c>
      <c r="G22" s="196">
        <v>464</v>
      </c>
      <c r="H22" s="196">
        <v>3277</v>
      </c>
      <c r="I22" s="196">
        <v>926</v>
      </c>
      <c r="J22" s="196">
        <v>411</v>
      </c>
      <c r="K22" s="196">
        <v>1835</v>
      </c>
      <c r="L22" s="196">
        <v>2488</v>
      </c>
      <c r="M22" s="196">
        <v>1012</v>
      </c>
      <c r="N22" s="196">
        <v>950</v>
      </c>
      <c r="O22" s="197">
        <v>674</v>
      </c>
    </row>
    <row r="23" spans="1:15" ht="15" customHeight="1">
      <c r="A23" s="195" t="s">
        <v>363</v>
      </c>
      <c r="B23" s="196">
        <v>293</v>
      </c>
      <c r="C23" s="196">
        <v>338</v>
      </c>
      <c r="D23" s="196">
        <v>250</v>
      </c>
      <c r="E23" s="196">
        <v>2406</v>
      </c>
      <c r="F23" s="196">
        <v>1622</v>
      </c>
      <c r="G23" s="196">
        <v>432</v>
      </c>
      <c r="H23" s="196">
        <v>3736</v>
      </c>
      <c r="I23" s="196">
        <v>369</v>
      </c>
      <c r="J23" s="196">
        <v>321</v>
      </c>
      <c r="K23" s="196">
        <v>1345</v>
      </c>
      <c r="L23" s="196">
        <v>1270</v>
      </c>
      <c r="M23" s="196">
        <v>576</v>
      </c>
      <c r="N23" s="196">
        <v>188</v>
      </c>
      <c r="O23" s="197">
        <v>621</v>
      </c>
    </row>
    <row r="24" spans="1:15" ht="15" customHeight="1">
      <c r="A24" s="195" t="s">
        <v>467</v>
      </c>
      <c r="B24" s="196">
        <v>268</v>
      </c>
      <c r="C24" s="196">
        <v>440</v>
      </c>
      <c r="D24" s="196">
        <v>349</v>
      </c>
      <c r="E24" s="196">
        <v>3785</v>
      </c>
      <c r="F24" s="196">
        <v>756</v>
      </c>
      <c r="G24" s="196">
        <v>690</v>
      </c>
      <c r="H24" s="196">
        <v>2075</v>
      </c>
      <c r="I24" s="196">
        <v>127</v>
      </c>
      <c r="J24" s="196">
        <v>659</v>
      </c>
      <c r="K24" s="196">
        <v>443</v>
      </c>
      <c r="L24" s="196">
        <v>624</v>
      </c>
      <c r="M24" s="196">
        <v>342</v>
      </c>
      <c r="N24" s="196">
        <v>929</v>
      </c>
      <c r="O24" s="197">
        <v>505</v>
      </c>
    </row>
    <row r="25" spans="1:15" ht="15" customHeight="1">
      <c r="A25" s="195" t="s">
        <v>468</v>
      </c>
      <c r="B25" s="196">
        <v>618</v>
      </c>
      <c r="C25" s="196">
        <v>318</v>
      </c>
      <c r="D25" s="196">
        <v>280</v>
      </c>
      <c r="E25" s="196">
        <v>3395</v>
      </c>
      <c r="F25" s="196">
        <v>1302</v>
      </c>
      <c r="G25" s="196">
        <v>608</v>
      </c>
      <c r="H25" s="196">
        <v>3879</v>
      </c>
      <c r="I25" s="196">
        <v>1053</v>
      </c>
      <c r="J25" s="196">
        <v>154</v>
      </c>
      <c r="K25" s="196">
        <v>1180</v>
      </c>
      <c r="L25" s="196">
        <v>1212</v>
      </c>
      <c r="M25" s="196">
        <v>764</v>
      </c>
      <c r="N25" s="196">
        <v>1114</v>
      </c>
      <c r="O25" s="197">
        <v>813</v>
      </c>
    </row>
    <row r="26" spans="1:15" ht="15" customHeight="1">
      <c r="A26" s="195" t="s">
        <v>469</v>
      </c>
      <c r="B26" s="196">
        <v>285</v>
      </c>
      <c r="C26" s="196">
        <v>327</v>
      </c>
      <c r="D26" s="196">
        <v>203</v>
      </c>
      <c r="E26" s="196">
        <v>4050</v>
      </c>
      <c r="F26" s="196">
        <v>586</v>
      </c>
      <c r="G26" s="196">
        <v>298</v>
      </c>
      <c r="H26" s="196">
        <v>3480</v>
      </c>
      <c r="I26" s="196">
        <v>300</v>
      </c>
      <c r="J26" s="196">
        <v>656</v>
      </c>
      <c r="K26" s="196">
        <v>1490</v>
      </c>
      <c r="L26" s="196">
        <v>2972</v>
      </c>
      <c r="M26" s="196">
        <v>447</v>
      </c>
      <c r="N26" s="196">
        <v>582</v>
      </c>
      <c r="O26" s="197">
        <v>523</v>
      </c>
    </row>
    <row r="27" spans="1:15" ht="15" customHeight="1">
      <c r="A27" s="195" t="s">
        <v>470</v>
      </c>
      <c r="B27" s="196">
        <v>287</v>
      </c>
      <c r="C27" s="196">
        <v>435</v>
      </c>
      <c r="D27" s="196">
        <v>266</v>
      </c>
      <c r="E27" s="196">
        <v>3584</v>
      </c>
      <c r="F27" s="196">
        <v>1097</v>
      </c>
      <c r="G27" s="196">
        <v>489</v>
      </c>
      <c r="H27" s="196">
        <v>1822</v>
      </c>
      <c r="I27" s="196">
        <v>421</v>
      </c>
      <c r="J27" s="196">
        <v>240</v>
      </c>
      <c r="K27" s="196">
        <v>1937</v>
      </c>
      <c r="L27" s="196">
        <v>1292</v>
      </c>
      <c r="M27" s="196">
        <v>960</v>
      </c>
      <c r="N27" s="196">
        <v>449</v>
      </c>
      <c r="O27" s="197">
        <v>596</v>
      </c>
    </row>
    <row r="28" spans="1:15" ht="15" customHeight="1">
      <c r="A28" s="195" t="s">
        <v>343</v>
      </c>
      <c r="B28" s="196">
        <v>233</v>
      </c>
      <c r="C28" s="196">
        <v>855</v>
      </c>
      <c r="D28" s="196">
        <v>276</v>
      </c>
      <c r="E28" s="196">
        <v>1280</v>
      </c>
      <c r="F28" s="196">
        <v>585</v>
      </c>
      <c r="G28" s="196">
        <v>632</v>
      </c>
      <c r="H28" s="196">
        <v>878</v>
      </c>
      <c r="I28" s="198" t="s">
        <v>463</v>
      </c>
      <c r="J28" s="196">
        <v>396</v>
      </c>
      <c r="K28" s="196">
        <v>881</v>
      </c>
      <c r="L28" s="196">
        <v>1298</v>
      </c>
      <c r="M28" s="198" t="s">
        <v>463</v>
      </c>
      <c r="N28" s="196">
        <v>55</v>
      </c>
      <c r="O28" s="197">
        <v>477</v>
      </c>
    </row>
    <row r="29" spans="1:15" ht="15" customHeight="1">
      <c r="A29" s="195" t="s">
        <v>351</v>
      </c>
      <c r="B29" s="196">
        <v>261</v>
      </c>
      <c r="C29" s="196">
        <v>261</v>
      </c>
      <c r="D29" s="196">
        <v>282</v>
      </c>
      <c r="E29" s="196">
        <v>3530</v>
      </c>
      <c r="F29" s="196">
        <v>910</v>
      </c>
      <c r="G29" s="196">
        <v>621</v>
      </c>
      <c r="H29" s="196">
        <v>1916</v>
      </c>
      <c r="I29" s="196">
        <v>993</v>
      </c>
      <c r="J29" s="196">
        <v>256</v>
      </c>
      <c r="K29" s="196">
        <v>1380</v>
      </c>
      <c r="L29" s="196">
        <v>536</v>
      </c>
      <c r="M29" s="196">
        <v>1007</v>
      </c>
      <c r="N29" s="196">
        <v>515</v>
      </c>
      <c r="O29" s="197">
        <v>478</v>
      </c>
    </row>
    <row r="30" spans="1:15" ht="15" customHeight="1">
      <c r="A30" s="195" t="s">
        <v>359</v>
      </c>
      <c r="B30" s="196">
        <v>278</v>
      </c>
      <c r="C30" s="196">
        <v>431</v>
      </c>
      <c r="D30" s="196">
        <v>259</v>
      </c>
      <c r="E30" s="196">
        <v>1944</v>
      </c>
      <c r="F30" s="196">
        <v>810</v>
      </c>
      <c r="G30" s="196">
        <v>523</v>
      </c>
      <c r="H30" s="196">
        <v>3887</v>
      </c>
      <c r="I30" s="196">
        <v>789</v>
      </c>
      <c r="J30" s="196">
        <v>493</v>
      </c>
      <c r="K30" s="196">
        <v>1379</v>
      </c>
      <c r="L30" s="196">
        <v>437</v>
      </c>
      <c r="M30" s="196">
        <v>634</v>
      </c>
      <c r="N30" s="196">
        <v>952</v>
      </c>
      <c r="O30" s="197">
        <v>482</v>
      </c>
    </row>
    <row r="31" spans="1:15" ht="15" customHeight="1">
      <c r="A31" s="195" t="s">
        <v>361</v>
      </c>
      <c r="B31" s="196">
        <v>317</v>
      </c>
      <c r="C31" s="196">
        <v>398</v>
      </c>
      <c r="D31" s="196">
        <v>290</v>
      </c>
      <c r="E31" s="196">
        <v>1222</v>
      </c>
      <c r="F31" s="196">
        <v>946</v>
      </c>
      <c r="G31" s="196">
        <v>441</v>
      </c>
      <c r="H31" s="196">
        <v>2991</v>
      </c>
      <c r="I31" s="196">
        <v>1037</v>
      </c>
      <c r="J31" s="196">
        <v>268</v>
      </c>
      <c r="K31" s="196">
        <v>2137</v>
      </c>
      <c r="L31" s="196">
        <v>1510</v>
      </c>
      <c r="M31" s="196">
        <v>665</v>
      </c>
      <c r="N31" s="196">
        <v>883</v>
      </c>
      <c r="O31" s="197">
        <v>546</v>
      </c>
    </row>
    <row r="32" spans="1:15" ht="15" customHeight="1">
      <c r="A32" s="195" t="s">
        <v>323</v>
      </c>
      <c r="B32" s="196">
        <v>227</v>
      </c>
      <c r="C32" s="196">
        <v>362</v>
      </c>
      <c r="D32" s="196">
        <v>244</v>
      </c>
      <c r="E32" s="196">
        <v>2321</v>
      </c>
      <c r="F32" s="196">
        <v>619</v>
      </c>
      <c r="G32" s="196">
        <v>406</v>
      </c>
      <c r="H32" s="196">
        <v>1709</v>
      </c>
      <c r="I32" s="196">
        <v>383</v>
      </c>
      <c r="J32" s="196">
        <v>348</v>
      </c>
      <c r="K32" s="196">
        <v>3052</v>
      </c>
      <c r="L32" s="196">
        <v>998</v>
      </c>
      <c r="M32" s="196">
        <v>621</v>
      </c>
      <c r="N32" s="196">
        <v>369</v>
      </c>
      <c r="O32" s="197">
        <v>409</v>
      </c>
    </row>
    <row r="33" spans="1:15" ht="15" customHeight="1">
      <c r="A33" s="195" t="s">
        <v>329</v>
      </c>
      <c r="B33" s="196">
        <v>249</v>
      </c>
      <c r="C33" s="196">
        <v>378</v>
      </c>
      <c r="D33" s="196">
        <v>318</v>
      </c>
      <c r="E33" s="196">
        <v>2270</v>
      </c>
      <c r="F33" s="196">
        <v>1187</v>
      </c>
      <c r="G33" s="196">
        <v>487</v>
      </c>
      <c r="H33" s="196">
        <v>2726</v>
      </c>
      <c r="I33" s="196">
        <v>499</v>
      </c>
      <c r="J33" s="196">
        <v>412</v>
      </c>
      <c r="K33" s="196">
        <v>968</v>
      </c>
      <c r="L33" s="196">
        <v>1031</v>
      </c>
      <c r="M33" s="196">
        <v>776</v>
      </c>
      <c r="N33" s="196">
        <v>546</v>
      </c>
      <c r="O33" s="197">
        <v>546</v>
      </c>
    </row>
    <row r="34" spans="1:15" ht="15" customHeight="1">
      <c r="A34" s="195" t="s">
        <v>355</v>
      </c>
      <c r="B34" s="196">
        <v>308</v>
      </c>
      <c r="C34" s="196">
        <v>165</v>
      </c>
      <c r="D34" s="196">
        <v>365</v>
      </c>
      <c r="E34" s="196">
        <v>4972</v>
      </c>
      <c r="F34" s="196">
        <v>1226</v>
      </c>
      <c r="G34" s="196">
        <v>671</v>
      </c>
      <c r="H34" s="196">
        <v>1652</v>
      </c>
      <c r="I34" s="196">
        <v>135</v>
      </c>
      <c r="J34" s="196">
        <v>523</v>
      </c>
      <c r="K34" s="196">
        <v>1196</v>
      </c>
      <c r="L34" s="196">
        <v>1852</v>
      </c>
      <c r="M34" s="196">
        <v>946</v>
      </c>
      <c r="N34" s="196">
        <v>880</v>
      </c>
      <c r="O34" s="197">
        <v>614</v>
      </c>
    </row>
    <row r="35" spans="1:15" ht="15" customHeight="1">
      <c r="A35" s="199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7"/>
    </row>
    <row r="36" spans="1:15" ht="15" customHeight="1">
      <c r="A36" s="200" t="s">
        <v>82</v>
      </c>
      <c r="B36" s="201">
        <v>302</v>
      </c>
      <c r="C36" s="201">
        <v>728</v>
      </c>
      <c r="D36" s="201">
        <v>297</v>
      </c>
      <c r="E36" s="201">
        <v>3365</v>
      </c>
      <c r="F36" s="201">
        <v>1142</v>
      </c>
      <c r="G36" s="201">
        <v>575</v>
      </c>
      <c r="H36" s="201">
        <v>2859</v>
      </c>
      <c r="I36" s="201">
        <v>547</v>
      </c>
      <c r="J36" s="201">
        <v>331</v>
      </c>
      <c r="K36" s="201">
        <v>1417</v>
      </c>
      <c r="L36" s="201">
        <v>1565</v>
      </c>
      <c r="M36" s="201">
        <v>969</v>
      </c>
      <c r="N36" s="201">
        <v>744</v>
      </c>
      <c r="O36" s="201">
        <v>670</v>
      </c>
    </row>
    <row r="37" spans="1:15" ht="15" customHeight="1">
      <c r="A37" s="618" t="s">
        <v>471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40" spans="1:15" ht="15" customHeight="1">
      <c r="A40" s="616" t="s">
        <v>483</v>
      </c>
      <c r="B40" s="616"/>
      <c r="C40" s="616"/>
      <c r="D40" s="616"/>
      <c r="E40" s="616"/>
      <c r="F40" s="616"/>
      <c r="G40" s="617"/>
      <c r="H40" s="202"/>
      <c r="I40" s="202"/>
      <c r="J40" s="202"/>
      <c r="K40" s="202"/>
      <c r="L40" s="202"/>
      <c r="M40" s="202"/>
      <c r="N40" s="202"/>
      <c r="O40" s="202"/>
    </row>
    <row r="41" spans="1:15" ht="15" customHeight="1">
      <c r="A41" s="619" t="s">
        <v>484</v>
      </c>
      <c r="B41" s="619"/>
      <c r="C41" s="619"/>
      <c r="D41" s="619"/>
      <c r="E41" s="619"/>
      <c r="F41" s="619"/>
      <c r="G41" s="188" t="s">
        <v>374</v>
      </c>
    </row>
    <row r="42" spans="1:15" ht="15" customHeight="1">
      <c r="A42" s="620" t="s">
        <v>485</v>
      </c>
      <c r="B42" s="622" t="s">
        <v>486</v>
      </c>
      <c r="C42" s="622"/>
      <c r="D42" s="622"/>
      <c r="E42" s="622"/>
      <c r="F42" s="622"/>
      <c r="G42" s="623" t="s">
        <v>493</v>
      </c>
    </row>
    <row r="43" spans="1:15" ht="15" customHeight="1">
      <c r="A43" s="621"/>
      <c r="B43" s="233" t="s">
        <v>487</v>
      </c>
      <c r="C43" s="233" t="s">
        <v>488</v>
      </c>
      <c r="D43" s="233" t="s">
        <v>1</v>
      </c>
      <c r="E43" s="233" t="s">
        <v>2</v>
      </c>
      <c r="F43" s="233" t="s">
        <v>65</v>
      </c>
      <c r="G43" s="624"/>
    </row>
    <row r="44" spans="1:15" ht="15" customHeight="1">
      <c r="A44" s="189" t="s">
        <v>443</v>
      </c>
      <c r="B44" s="196">
        <v>17</v>
      </c>
      <c r="C44" s="196">
        <v>4</v>
      </c>
      <c r="D44" s="196">
        <v>78</v>
      </c>
      <c r="E44" s="196">
        <v>1</v>
      </c>
      <c r="F44" s="196">
        <v>1</v>
      </c>
      <c r="G44" s="234">
        <v>20274</v>
      </c>
    </row>
    <row r="45" spans="1:15" ht="15" customHeight="1">
      <c r="A45" s="189" t="s">
        <v>442</v>
      </c>
      <c r="B45" s="196">
        <v>31</v>
      </c>
      <c r="C45" s="196">
        <v>7</v>
      </c>
      <c r="D45" s="196">
        <v>60</v>
      </c>
      <c r="E45" s="196">
        <v>1</v>
      </c>
      <c r="F45" s="196">
        <v>1</v>
      </c>
      <c r="G45" s="234">
        <v>12006</v>
      </c>
    </row>
    <row r="46" spans="1:15" ht="15" customHeight="1">
      <c r="A46" s="189" t="s">
        <v>489</v>
      </c>
      <c r="B46" s="196">
        <v>28</v>
      </c>
      <c r="C46" s="196">
        <v>24</v>
      </c>
      <c r="D46" s="196">
        <v>41</v>
      </c>
      <c r="E46" s="196">
        <v>4</v>
      </c>
      <c r="F46" s="196">
        <v>2</v>
      </c>
      <c r="G46" s="234">
        <v>4977</v>
      </c>
    </row>
    <row r="47" spans="1:15" ht="15" customHeight="1">
      <c r="A47" s="189" t="s">
        <v>444</v>
      </c>
      <c r="B47" s="196">
        <v>46</v>
      </c>
      <c r="C47" s="196">
        <v>30</v>
      </c>
      <c r="D47" s="196">
        <v>12</v>
      </c>
      <c r="E47" s="196">
        <v>12</v>
      </c>
      <c r="F47" s="196">
        <v>1</v>
      </c>
      <c r="G47" s="234">
        <v>766</v>
      </c>
    </row>
    <row r="48" spans="1:15" ht="15" customHeight="1">
      <c r="A48" s="189" t="s">
        <v>451</v>
      </c>
      <c r="B48" s="196">
        <v>32</v>
      </c>
      <c r="C48" s="196">
        <v>11</v>
      </c>
      <c r="D48" s="196">
        <v>55</v>
      </c>
      <c r="E48" s="196">
        <v>2</v>
      </c>
      <c r="F48" s="196">
        <v>0</v>
      </c>
      <c r="G48" s="234">
        <v>7369</v>
      </c>
    </row>
    <row r="49" spans="1:7" ht="15" customHeight="1">
      <c r="A49" s="189" t="s">
        <v>490</v>
      </c>
      <c r="B49" s="196">
        <v>27</v>
      </c>
      <c r="C49" s="196">
        <v>14</v>
      </c>
      <c r="D49" s="196">
        <v>55</v>
      </c>
      <c r="E49" s="196">
        <v>3</v>
      </c>
      <c r="F49" s="196">
        <v>1</v>
      </c>
      <c r="G49" s="234">
        <v>2184</v>
      </c>
    </row>
    <row r="50" spans="1:7" ht="15" customHeight="1">
      <c r="A50" s="189" t="s">
        <v>453</v>
      </c>
      <c r="B50" s="196">
        <v>30</v>
      </c>
      <c r="C50" s="196">
        <v>27</v>
      </c>
      <c r="D50" s="196">
        <v>36</v>
      </c>
      <c r="E50" s="196">
        <v>3</v>
      </c>
      <c r="F50" s="196">
        <v>3</v>
      </c>
      <c r="G50" s="234">
        <v>1138</v>
      </c>
    </row>
    <row r="51" spans="1:7" ht="15" customHeight="1">
      <c r="A51" s="189" t="s">
        <v>454</v>
      </c>
      <c r="B51" s="196">
        <v>31</v>
      </c>
      <c r="C51" s="196">
        <v>12</v>
      </c>
      <c r="D51" s="196">
        <v>55</v>
      </c>
      <c r="E51" s="196">
        <v>2</v>
      </c>
      <c r="F51" s="196">
        <v>1</v>
      </c>
      <c r="G51" s="234">
        <v>921</v>
      </c>
    </row>
    <row r="52" spans="1:7" ht="15" customHeight="1">
      <c r="A52" s="189" t="s">
        <v>491</v>
      </c>
      <c r="B52" s="196">
        <v>37</v>
      </c>
      <c r="C52" s="196">
        <v>26</v>
      </c>
      <c r="D52" s="196">
        <v>31</v>
      </c>
      <c r="E52" s="196">
        <v>4</v>
      </c>
      <c r="F52" s="196">
        <v>2</v>
      </c>
      <c r="G52" s="234">
        <v>880</v>
      </c>
    </row>
    <row r="53" spans="1:7" ht="15" customHeight="1">
      <c r="A53" s="189" t="s">
        <v>456</v>
      </c>
      <c r="B53" s="196">
        <v>40</v>
      </c>
      <c r="C53" s="196">
        <v>30</v>
      </c>
      <c r="D53" s="196">
        <v>15</v>
      </c>
      <c r="E53" s="196">
        <v>12</v>
      </c>
      <c r="F53" s="196">
        <v>3</v>
      </c>
      <c r="G53" s="234">
        <v>431</v>
      </c>
    </row>
    <row r="54" spans="1:7" ht="15" customHeight="1">
      <c r="A54" s="189" t="s">
        <v>457</v>
      </c>
      <c r="B54" s="196">
        <v>42</v>
      </c>
      <c r="C54" s="196">
        <v>26</v>
      </c>
      <c r="D54" s="196">
        <v>23</v>
      </c>
      <c r="E54" s="196">
        <v>6</v>
      </c>
      <c r="F54" s="196">
        <v>3</v>
      </c>
      <c r="G54" s="234">
        <v>779</v>
      </c>
    </row>
    <row r="55" spans="1:7" ht="15" customHeight="1">
      <c r="A55" s="189" t="s">
        <v>458</v>
      </c>
      <c r="B55" s="196">
        <v>41</v>
      </c>
      <c r="C55" s="196">
        <v>10</v>
      </c>
      <c r="D55" s="196">
        <v>43</v>
      </c>
      <c r="E55" s="196">
        <v>5</v>
      </c>
      <c r="F55" s="196">
        <v>1</v>
      </c>
      <c r="G55" s="234">
        <v>473</v>
      </c>
    </row>
    <row r="56" spans="1:7" ht="15" customHeight="1">
      <c r="A56" s="189" t="s">
        <v>65</v>
      </c>
      <c r="B56" s="196">
        <v>31</v>
      </c>
      <c r="C56" s="196">
        <v>11</v>
      </c>
      <c r="D56" s="196">
        <v>52</v>
      </c>
      <c r="E56" s="196">
        <v>4</v>
      </c>
      <c r="F56" s="196">
        <v>2</v>
      </c>
      <c r="G56" s="234">
        <v>909</v>
      </c>
    </row>
    <row r="57" spans="1:7" ht="15" customHeight="1">
      <c r="A57" s="195"/>
      <c r="B57" s="198"/>
      <c r="C57" s="198"/>
      <c r="D57" s="198"/>
      <c r="E57" s="198"/>
      <c r="F57" s="198"/>
      <c r="G57" s="198"/>
    </row>
    <row r="58" spans="1:7" ht="15" customHeight="1">
      <c r="A58" s="235" t="s">
        <v>145</v>
      </c>
      <c r="B58" s="236">
        <v>26</v>
      </c>
      <c r="C58" s="236">
        <v>10</v>
      </c>
      <c r="D58" s="236">
        <v>61</v>
      </c>
      <c r="E58" s="236">
        <v>2</v>
      </c>
      <c r="F58" s="236">
        <v>1</v>
      </c>
      <c r="G58" s="236">
        <v>53107</v>
      </c>
    </row>
    <row r="64" spans="1:7" ht="15" customHeight="1">
      <c r="A64" s="613"/>
      <c r="B64" s="611" t="s">
        <v>495</v>
      </c>
      <c r="C64" s="611" t="s">
        <v>80</v>
      </c>
      <c r="D64" s="615" t="s">
        <v>494</v>
      </c>
      <c r="E64" s="615"/>
      <c r="F64" s="611" t="s">
        <v>33</v>
      </c>
      <c r="G64" s="611" t="s">
        <v>492</v>
      </c>
    </row>
    <row r="65" spans="1:7" ht="15" customHeight="1">
      <c r="A65" s="614"/>
      <c r="B65" s="612"/>
      <c r="C65" s="612"/>
      <c r="D65" s="238" t="s">
        <v>33</v>
      </c>
      <c r="E65" s="63" t="s">
        <v>492</v>
      </c>
      <c r="F65" s="612"/>
      <c r="G65" s="612"/>
    </row>
    <row r="66" spans="1:7" ht="15" customHeight="1">
      <c r="A66" t="s">
        <v>443</v>
      </c>
      <c r="B66" s="239">
        <f t="shared" ref="B66:B78" si="0">G44*SUMIFS($B$36:$O$36,$B$3:$O$3,$A44)/10^6</f>
        <v>6.1227479999999996</v>
      </c>
      <c r="C66" s="60">
        <f>B66/'CSO data'!$B$80</f>
        <v>0.18794160267037238</v>
      </c>
      <c r="D66" s="246">
        <v>0</v>
      </c>
      <c r="E66" s="246">
        <v>1</v>
      </c>
      <c r="F66" s="237">
        <f>C66*D66</f>
        <v>0</v>
      </c>
      <c r="G66" s="237">
        <f>C66*E66</f>
        <v>0.18794160267037238</v>
      </c>
    </row>
    <row r="67" spans="1:7" ht="15" customHeight="1">
      <c r="A67" s="9" t="s">
        <v>442</v>
      </c>
      <c r="B67" s="239">
        <f t="shared" si="0"/>
        <v>8.7403680000000001</v>
      </c>
      <c r="C67" s="60">
        <f>B67/'CSO data'!$B$80</f>
        <v>0.26829109573819426</v>
      </c>
      <c r="D67" s="246">
        <v>0.4</v>
      </c>
      <c r="E67" s="246">
        <v>0.6</v>
      </c>
      <c r="F67" s="237">
        <f t="shared" ref="F67" si="1">C67*D67</f>
        <v>0.10731643829527771</v>
      </c>
      <c r="G67" s="237">
        <f t="shared" ref="G67" si="2">C67*E67</f>
        <v>0.16097465744291656</v>
      </c>
    </row>
    <row r="68" spans="1:7" ht="15" customHeight="1">
      <c r="A68" s="9" t="s">
        <v>489</v>
      </c>
      <c r="B68" s="239">
        <f t="shared" si="0"/>
        <v>0</v>
      </c>
      <c r="C68" s="60">
        <f>B68/'CSO data'!$B$80</f>
        <v>0</v>
      </c>
      <c r="D68" s="246">
        <v>0</v>
      </c>
      <c r="E68" s="246">
        <v>1</v>
      </c>
      <c r="F68" s="237">
        <f t="shared" ref="F68:F78" si="3">C68*D68</f>
        <v>0</v>
      </c>
      <c r="G68" s="237">
        <f t="shared" ref="G68:G78" si="4">C68*E68</f>
        <v>0</v>
      </c>
    </row>
    <row r="69" spans="1:7" ht="15" customHeight="1">
      <c r="A69" s="9" t="s">
        <v>444</v>
      </c>
      <c r="B69" s="239">
        <f t="shared" si="0"/>
        <v>2.5775899999999998</v>
      </c>
      <c r="C69" s="60">
        <f>B69/'CSO data'!$B$80</f>
        <v>7.9120747028478905E-2</v>
      </c>
      <c r="D69" s="246">
        <v>0</v>
      </c>
      <c r="E69" s="246">
        <v>1</v>
      </c>
      <c r="F69" s="237">
        <f t="shared" si="3"/>
        <v>0</v>
      </c>
      <c r="G69" s="237">
        <f t="shared" si="4"/>
        <v>7.9120747028478905E-2</v>
      </c>
    </row>
    <row r="70" spans="1:7" ht="15" customHeight="1">
      <c r="A70" s="9" t="s">
        <v>451</v>
      </c>
      <c r="B70" s="239">
        <f t="shared" si="0"/>
        <v>8.4153979999999997</v>
      </c>
      <c r="C70" s="60">
        <f>B70/'CSO data'!$B$80</f>
        <v>0.25831593709704309</v>
      </c>
      <c r="D70" s="246">
        <v>0</v>
      </c>
      <c r="E70" s="246">
        <v>1</v>
      </c>
      <c r="F70" s="237">
        <f t="shared" si="3"/>
        <v>0</v>
      </c>
      <c r="G70" s="237">
        <f t="shared" si="4"/>
        <v>0.25831593709704309</v>
      </c>
    </row>
    <row r="71" spans="1:7" ht="15" customHeight="1">
      <c r="A71" s="9" t="s">
        <v>490</v>
      </c>
      <c r="B71" s="239">
        <f t="shared" si="0"/>
        <v>0</v>
      </c>
      <c r="C71" s="60">
        <f>B71/'CSO data'!$B$80</f>
        <v>0</v>
      </c>
      <c r="D71" s="246">
        <v>1</v>
      </c>
      <c r="E71" s="246">
        <v>0</v>
      </c>
      <c r="F71" s="237">
        <f t="shared" si="3"/>
        <v>0</v>
      </c>
      <c r="G71" s="237">
        <f t="shared" si="4"/>
        <v>0</v>
      </c>
    </row>
    <row r="72" spans="1:7" ht="15" customHeight="1">
      <c r="A72" s="9" t="s">
        <v>453</v>
      </c>
      <c r="B72" s="239">
        <f t="shared" si="0"/>
        <v>3.2535419999999999</v>
      </c>
      <c r="C72" s="60">
        <f>B72/'CSO data'!$B$80</f>
        <v>9.986951901913467E-2</v>
      </c>
      <c r="D72" s="246">
        <v>0</v>
      </c>
      <c r="E72" s="246">
        <v>1</v>
      </c>
      <c r="F72" s="237">
        <f t="shared" si="3"/>
        <v>0</v>
      </c>
      <c r="G72" s="237">
        <f t="shared" si="4"/>
        <v>9.986951901913467E-2</v>
      </c>
    </row>
    <row r="73" spans="1:7" ht="15" customHeight="1">
      <c r="A73" s="9" t="s">
        <v>454</v>
      </c>
      <c r="B73" s="239">
        <f t="shared" si="0"/>
        <v>0.50378699999999998</v>
      </c>
      <c r="C73" s="60">
        <f>B73/'CSO data'!$B$80</f>
        <v>1.5464058978827628E-2</v>
      </c>
      <c r="D73" s="246">
        <v>0.6</v>
      </c>
      <c r="E73" s="246">
        <v>0.4</v>
      </c>
      <c r="F73" s="237">
        <f t="shared" si="3"/>
        <v>9.2784353872965766E-3</v>
      </c>
      <c r="G73" s="237">
        <f t="shared" si="4"/>
        <v>6.185623591531051E-3</v>
      </c>
    </row>
    <row r="74" spans="1:7" ht="15" customHeight="1">
      <c r="A74" s="9" t="s">
        <v>491</v>
      </c>
      <c r="B74" s="239">
        <f t="shared" si="0"/>
        <v>0</v>
      </c>
      <c r="C74" s="60">
        <f>B74/'CSO data'!$B$80</f>
        <v>0</v>
      </c>
      <c r="D74" s="246">
        <v>1</v>
      </c>
      <c r="E74" s="246">
        <v>0</v>
      </c>
      <c r="F74" s="237">
        <f t="shared" si="3"/>
        <v>0</v>
      </c>
      <c r="G74" s="237">
        <f t="shared" si="4"/>
        <v>0</v>
      </c>
    </row>
    <row r="75" spans="1:7" ht="15" customHeight="1">
      <c r="A75" s="9" t="s">
        <v>456</v>
      </c>
      <c r="B75" s="239">
        <f t="shared" si="0"/>
        <v>0.61072700000000002</v>
      </c>
      <c r="C75" s="60">
        <f>B75/'CSO data'!$B$80</f>
        <v>1.8746649572066093E-2</v>
      </c>
      <c r="D75" s="246">
        <v>0.4</v>
      </c>
      <c r="E75" s="246">
        <v>0.6</v>
      </c>
      <c r="F75" s="237">
        <f t="shared" si="3"/>
        <v>7.4986598288264376E-3</v>
      </c>
      <c r="G75" s="237">
        <f t="shared" si="4"/>
        <v>1.1247989743239655E-2</v>
      </c>
    </row>
    <row r="76" spans="1:7" ht="15" customHeight="1">
      <c r="A76" s="9" t="s">
        <v>457</v>
      </c>
      <c r="B76" s="239">
        <f t="shared" si="0"/>
        <v>1.2191350000000001</v>
      </c>
      <c r="C76" s="60">
        <f>B76/'CSO data'!$B$80</f>
        <v>3.7422115979874472E-2</v>
      </c>
      <c r="D76" s="246">
        <v>0.6</v>
      </c>
      <c r="E76" s="246">
        <v>0.4</v>
      </c>
      <c r="F76" s="237">
        <f t="shared" si="3"/>
        <v>2.2453269587924683E-2</v>
      </c>
      <c r="G76" s="237">
        <f t="shared" si="4"/>
        <v>1.496884639194979E-2</v>
      </c>
    </row>
    <row r="77" spans="1:7" ht="15" customHeight="1">
      <c r="A77" s="9" t="s">
        <v>458</v>
      </c>
      <c r="B77" s="239">
        <f t="shared" si="0"/>
        <v>0.45833699999999999</v>
      </c>
      <c r="C77" s="60">
        <f>B77/'CSO data'!$B$80</f>
        <v>1.406894262888665E-2</v>
      </c>
      <c r="D77" s="246">
        <v>0</v>
      </c>
      <c r="E77" s="246">
        <v>1</v>
      </c>
      <c r="F77" s="237">
        <f t="shared" si="3"/>
        <v>0</v>
      </c>
      <c r="G77" s="237">
        <f t="shared" si="4"/>
        <v>1.406894262888665E-2</v>
      </c>
    </row>
    <row r="78" spans="1:7" ht="15" customHeight="1">
      <c r="A78" s="9" t="s">
        <v>65</v>
      </c>
      <c r="B78" s="239">
        <f t="shared" si="0"/>
        <v>0.67629600000000001</v>
      </c>
      <c r="C78" s="60">
        <f>B78/'CSO data'!$B$80</f>
        <v>2.0759331287121759E-2</v>
      </c>
      <c r="D78" s="246">
        <v>0</v>
      </c>
      <c r="E78" s="246">
        <v>1</v>
      </c>
      <c r="F78" s="237">
        <f t="shared" si="3"/>
        <v>0</v>
      </c>
      <c r="G78" s="237">
        <f t="shared" si="4"/>
        <v>2.0759331287121759E-2</v>
      </c>
    </row>
    <row r="79" spans="1:7" ht="15" customHeight="1">
      <c r="A79" s="244"/>
      <c r="B79" s="240"/>
      <c r="C79" s="240"/>
      <c r="D79" s="240"/>
      <c r="E79" s="240"/>
      <c r="F79" s="240"/>
      <c r="G79" s="240"/>
    </row>
    <row r="80" spans="1:7" ht="15" customHeight="1">
      <c r="A80" s="258" t="s">
        <v>145</v>
      </c>
      <c r="B80" s="241">
        <f>SUM(B66:B78)</f>
        <v>32.577928</v>
      </c>
      <c r="C80" s="245">
        <f>SUM(C66:C78)</f>
        <v>0.99999999999999978</v>
      </c>
      <c r="D80" s="242"/>
      <c r="E80" s="242"/>
      <c r="F80" s="243">
        <f>SUM(F66:F78)</f>
        <v>0.14654680309932541</v>
      </c>
      <c r="G80" s="243">
        <f>SUM(G66:G78)</f>
        <v>0.85345319690067467</v>
      </c>
    </row>
  </sheetData>
  <mergeCells count="13">
    <mergeCell ref="G64:G65"/>
    <mergeCell ref="A64:A65"/>
    <mergeCell ref="D64:E64"/>
    <mergeCell ref="A1:O1"/>
    <mergeCell ref="A37:O37"/>
    <mergeCell ref="A40:G40"/>
    <mergeCell ref="A41:F41"/>
    <mergeCell ref="A42:A43"/>
    <mergeCell ref="B42:F42"/>
    <mergeCell ref="G42:G43"/>
    <mergeCell ref="B64:B65"/>
    <mergeCell ref="C64:C65"/>
    <mergeCell ref="F64:F65"/>
  </mergeCells>
  <hyperlinks>
    <hyperlink ref="B2" r:id="rId1" xr:uid="{27D25406-79B2-4ED9-82E7-EC2BC6A102F7}"/>
  </hyperlinks>
  <pageMargins left="0.70866141732283472" right="0.70866141732283472" top="0.74803149606299213" bottom="0.74803149606299213" header="0.31496062992125984" footer="0.31496062992125984"/>
  <pageSetup paperSize="9" scale="40" orientation="landscape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ECD4-CACB-4A43-B716-D93D9079FF55}">
  <sheetPr codeName="Sheet16">
    <tabColor theme="5" tint="0.59999389629810485"/>
  </sheetPr>
  <dimension ref="A1:I40"/>
  <sheetViews>
    <sheetView topLeftCell="A29" workbookViewId="0">
      <selection activeCell="C29" sqref="C29"/>
    </sheetView>
  </sheetViews>
  <sheetFormatPr defaultColWidth="9.1796875" defaultRowHeight="13"/>
  <cols>
    <col min="1" max="1" width="9.1796875" style="170"/>
    <col min="2" max="2" width="38.81640625" style="170" bestFit="1" customWidth="1"/>
    <col min="3" max="3" width="9.453125" style="170" bestFit="1" customWidth="1"/>
    <col min="4" max="4" width="12.81640625" style="170" bestFit="1" customWidth="1"/>
    <col min="5" max="5" width="13.26953125" style="170" bestFit="1" customWidth="1"/>
    <col min="6" max="6" width="9.1796875" style="170"/>
    <col min="7" max="7" width="32.26953125" style="170" customWidth="1"/>
    <col min="8" max="8" width="10.26953125" style="170" bestFit="1" customWidth="1"/>
    <col min="9" max="9" width="10.7265625" style="170" bestFit="1" customWidth="1"/>
    <col min="10" max="16384" width="9.1796875" style="170"/>
  </cols>
  <sheetData>
    <row r="1" spans="1:9">
      <c r="A1" s="170" t="s">
        <v>152</v>
      </c>
      <c r="B1" s="170" t="s">
        <v>436</v>
      </c>
    </row>
    <row r="2" spans="1:9" ht="14.5">
      <c r="A2" s="170" t="s">
        <v>437</v>
      </c>
      <c r="B2" s="171" t="s">
        <v>409</v>
      </c>
    </row>
    <row r="5" spans="1:9" ht="14.5">
      <c r="B5" s="15" t="s">
        <v>410</v>
      </c>
      <c r="G5" s="15" t="s">
        <v>410</v>
      </c>
    </row>
    <row r="6" spans="1:9" ht="14.5">
      <c r="B6" s="172"/>
      <c r="C6" s="172" t="s">
        <v>411</v>
      </c>
      <c r="D6" s="172" t="s">
        <v>412</v>
      </c>
      <c r="E6" s="173" t="s">
        <v>413</v>
      </c>
      <c r="G6" s="172" t="s">
        <v>414</v>
      </c>
      <c r="H6" s="172" t="s">
        <v>415</v>
      </c>
      <c r="I6" s="172" t="s">
        <v>416</v>
      </c>
    </row>
    <row r="7" spans="1:9">
      <c r="B7" s="172" t="s">
        <v>417</v>
      </c>
      <c r="C7" s="172">
        <v>225</v>
      </c>
      <c r="D7" s="172">
        <v>121</v>
      </c>
      <c r="E7" s="172">
        <v>43</v>
      </c>
      <c r="G7" s="172">
        <f>C7/$C$16</f>
        <v>4.5703839122486288E-2</v>
      </c>
      <c r="H7" s="172">
        <f>D7/$D$16</f>
        <v>3.873239436619718E-2</v>
      </c>
      <c r="I7" s="172">
        <f>E7/$E$16</f>
        <v>2.0149953139643861E-2</v>
      </c>
    </row>
    <row r="8" spans="1:9">
      <c r="B8" s="172" t="s">
        <v>418</v>
      </c>
      <c r="C8" s="172">
        <v>870</v>
      </c>
      <c r="D8" s="172">
        <v>864</v>
      </c>
      <c r="E8" s="174">
        <v>1475</v>
      </c>
      <c r="G8" s="172">
        <f t="shared" ref="G8:G14" si="0">C8/$C$16</f>
        <v>0.17672151127361366</v>
      </c>
      <c r="H8" s="172">
        <f t="shared" ref="H8:H14" si="1">D8/$D$16</f>
        <v>0.27656850192061461</v>
      </c>
      <c r="I8" s="172">
        <f t="shared" ref="I8:I14" si="2">E8/$E$16</f>
        <v>0.69119025304592319</v>
      </c>
    </row>
    <row r="9" spans="1:9" ht="14.5">
      <c r="B9" s="175" t="s">
        <v>419</v>
      </c>
      <c r="C9" s="172">
        <v>496</v>
      </c>
      <c r="D9" s="172">
        <v>339</v>
      </c>
      <c r="E9" s="172">
        <v>10</v>
      </c>
      <c r="G9" s="172">
        <f t="shared" si="0"/>
        <v>0.10075157424334755</v>
      </c>
      <c r="H9" s="172">
        <f t="shared" si="1"/>
        <v>0.10851472471190782</v>
      </c>
      <c r="I9" s="172">
        <f t="shared" si="2"/>
        <v>4.6860356138706651E-3</v>
      </c>
    </row>
    <row r="10" spans="1:9">
      <c r="B10" s="172" t="s">
        <v>63</v>
      </c>
      <c r="C10" s="172">
        <v>780</v>
      </c>
      <c r="D10" s="172">
        <v>885</v>
      </c>
      <c r="E10" s="172">
        <v>82</v>
      </c>
      <c r="G10" s="172">
        <f t="shared" si="0"/>
        <v>0.15843997562461914</v>
      </c>
      <c r="H10" s="172">
        <f t="shared" si="1"/>
        <v>0.28329065300896289</v>
      </c>
      <c r="I10" s="172">
        <f t="shared" si="2"/>
        <v>3.8425492033739454E-2</v>
      </c>
    </row>
    <row r="11" spans="1:9">
      <c r="B11" s="172" t="s">
        <v>420</v>
      </c>
      <c r="C11" s="172">
        <v>199</v>
      </c>
      <c r="D11" s="172">
        <v>157</v>
      </c>
      <c r="E11" s="172">
        <v>209</v>
      </c>
      <c r="G11" s="172">
        <f t="shared" si="0"/>
        <v>4.0422506601665652E-2</v>
      </c>
      <c r="H11" s="172">
        <f t="shared" si="1"/>
        <v>5.0256081946222789E-2</v>
      </c>
      <c r="I11" s="172">
        <f t="shared" si="2"/>
        <v>9.7938144329896906E-2</v>
      </c>
    </row>
    <row r="12" spans="1:9">
      <c r="B12" s="172" t="s">
        <v>421</v>
      </c>
      <c r="C12" s="174">
        <v>1768</v>
      </c>
      <c r="D12" s="172">
        <v>282</v>
      </c>
      <c r="E12" s="172">
        <v>248</v>
      </c>
      <c r="G12" s="172">
        <f t="shared" si="0"/>
        <v>0.35913061141580338</v>
      </c>
      <c r="H12" s="172">
        <f t="shared" si="1"/>
        <v>9.0268886043533933E-2</v>
      </c>
      <c r="I12" s="172">
        <f t="shared" si="2"/>
        <v>0.1162136832239925</v>
      </c>
    </row>
    <row r="13" spans="1:9">
      <c r="B13" s="172" t="s">
        <v>422</v>
      </c>
      <c r="C13" s="172">
        <v>238</v>
      </c>
      <c r="D13" s="172">
        <v>80</v>
      </c>
      <c r="E13" s="172">
        <v>65</v>
      </c>
      <c r="G13" s="172">
        <f t="shared" si="0"/>
        <v>4.8344505382896606E-2</v>
      </c>
      <c r="H13" s="172">
        <f t="shared" si="1"/>
        <v>2.5608194622279128E-2</v>
      </c>
      <c r="I13" s="172">
        <f t="shared" si="2"/>
        <v>3.0459231490159326E-2</v>
      </c>
    </row>
    <row r="14" spans="1:9" ht="14.5">
      <c r="B14" s="175" t="s">
        <v>423</v>
      </c>
      <c r="C14" s="172">
        <v>347</v>
      </c>
      <c r="D14" s="172">
        <v>396</v>
      </c>
      <c r="E14" s="172">
        <v>2</v>
      </c>
      <c r="G14" s="172">
        <f t="shared" si="0"/>
        <v>7.0485476335567745E-2</v>
      </c>
      <c r="H14" s="172">
        <f t="shared" si="1"/>
        <v>0.12676056338028169</v>
      </c>
      <c r="I14" s="172">
        <f t="shared" si="2"/>
        <v>9.372071227741331E-4</v>
      </c>
    </row>
    <row r="15" spans="1:9">
      <c r="B15" s="172"/>
      <c r="C15" s="172"/>
      <c r="D15" s="172"/>
      <c r="E15" s="172"/>
    </row>
    <row r="16" spans="1:9">
      <c r="B16" s="172"/>
      <c r="C16" s="172">
        <f>SUM(C7:C14)</f>
        <v>4923</v>
      </c>
      <c r="D16" s="172">
        <f>SUM(D7:D14)</f>
        <v>3124</v>
      </c>
      <c r="E16" s="172">
        <f>SUM(E7:E14)</f>
        <v>2134</v>
      </c>
    </row>
    <row r="17" spans="2:9">
      <c r="B17" s="172"/>
      <c r="C17" s="172">
        <f>C16/SUM(C16:E16)</f>
        <v>0.48354778508987328</v>
      </c>
      <c r="D17" s="172">
        <f>D16/SUM(C16:E16)</f>
        <v>0.30684608584618406</v>
      </c>
      <c r="E17" s="172">
        <f>E16/SUM(C16:E16)</f>
        <v>0.20960612906394263</v>
      </c>
    </row>
    <row r="18" spans="2:9">
      <c r="C18" s="176">
        <f>C16*3.6/1000</f>
        <v>17.722799999999999</v>
      </c>
      <c r="D18" s="176">
        <f>D16*3.6/1000</f>
        <v>11.2464</v>
      </c>
      <c r="E18" s="176">
        <f>E16*3.6/1000</f>
        <v>7.6824000000000003</v>
      </c>
      <c r="F18" s="170" t="s">
        <v>46</v>
      </c>
      <c r="G18" s="177"/>
    </row>
    <row r="19" spans="2:9">
      <c r="C19" s="177">
        <f>C18/0.041868</f>
        <v>423.30180567497848</v>
      </c>
      <c r="D19" s="177">
        <f>D18/0.041868</f>
        <v>268.61564918314701</v>
      </c>
      <c r="E19" s="177">
        <f>E18/0.041868</f>
        <v>183.49097162510748</v>
      </c>
      <c r="F19" s="170" t="s">
        <v>54</v>
      </c>
    </row>
    <row r="20" spans="2:9">
      <c r="E20" s="177">
        <f>SUM(C19:E19)</f>
        <v>875.40842648323292</v>
      </c>
    </row>
    <row r="23" spans="2:9" ht="14.5">
      <c r="B23" s="178" t="s">
        <v>424</v>
      </c>
      <c r="C23" s="172" t="s">
        <v>425</v>
      </c>
      <c r="D23" s="172" t="s">
        <v>132</v>
      </c>
      <c r="G23" s="178" t="s">
        <v>426</v>
      </c>
      <c r="H23" s="172" t="s">
        <v>425</v>
      </c>
      <c r="I23" s="172" t="s">
        <v>132</v>
      </c>
    </row>
    <row r="24" spans="2:9" ht="14.5">
      <c r="B24" s="172" t="s">
        <v>427</v>
      </c>
      <c r="C24" s="172">
        <v>609</v>
      </c>
      <c r="D24" s="172">
        <f>C24/$C$34</f>
        <v>0.12370505789152955</v>
      </c>
      <c r="G24" s="172" t="s">
        <v>428</v>
      </c>
      <c r="H24" s="172">
        <v>539</v>
      </c>
      <c r="I24" s="175">
        <f t="shared" ref="I24:I32" si="3">H24/$H$34</f>
        <v>0.30677290836653387</v>
      </c>
    </row>
    <row r="25" spans="2:9" ht="14.5">
      <c r="B25" s="172" t="s">
        <v>429</v>
      </c>
      <c r="C25" s="172">
        <v>775</v>
      </c>
      <c r="D25" s="172">
        <f t="shared" ref="D25:D33" si="4">C25/$C$34</f>
        <v>0.15742433475523054</v>
      </c>
      <c r="G25" s="172" t="s">
        <v>429</v>
      </c>
      <c r="H25" s="172">
        <v>461</v>
      </c>
      <c r="I25" s="175">
        <f t="shared" si="3"/>
        <v>0.26237905520774046</v>
      </c>
    </row>
    <row r="26" spans="2:9" ht="14.5">
      <c r="B26" s="172" t="s">
        <v>428</v>
      </c>
      <c r="C26" s="172">
        <v>773</v>
      </c>
      <c r="D26" s="172">
        <f t="shared" si="4"/>
        <v>0.15701807840747511</v>
      </c>
      <c r="G26" s="172" t="s">
        <v>430</v>
      </c>
      <c r="H26" s="172">
        <v>309</v>
      </c>
      <c r="I26" s="175">
        <f t="shared" si="3"/>
        <v>0.17586795674445077</v>
      </c>
    </row>
    <row r="27" spans="2:9" ht="14.5">
      <c r="B27" s="172" t="s">
        <v>430</v>
      </c>
      <c r="C27" s="172">
        <v>454</v>
      </c>
      <c r="D27" s="172">
        <f t="shared" si="4"/>
        <v>9.2220190940483449E-2</v>
      </c>
      <c r="G27" s="172" t="s">
        <v>427</v>
      </c>
      <c r="H27" s="172">
        <v>216</v>
      </c>
      <c r="I27" s="175">
        <f t="shared" si="3"/>
        <v>0.12293682413204325</v>
      </c>
    </row>
    <row r="28" spans="2:9" ht="14.5">
      <c r="B28" s="172" t="s">
        <v>431</v>
      </c>
      <c r="C28" s="172">
        <v>883</v>
      </c>
      <c r="D28" s="172">
        <f t="shared" si="4"/>
        <v>0.17936217753402398</v>
      </c>
      <c r="G28" s="172" t="s">
        <v>432</v>
      </c>
      <c r="H28" s="172">
        <v>128</v>
      </c>
      <c r="I28" s="175">
        <f t="shared" si="3"/>
        <v>7.2851451337507117E-2</v>
      </c>
    </row>
    <row r="29" spans="2:9" ht="14.5">
      <c r="B29" s="172" t="s">
        <v>45</v>
      </c>
      <c r="C29" s="181">
        <v>402</v>
      </c>
      <c r="D29" s="172">
        <f t="shared" si="4"/>
        <v>8.1657525898842176E-2</v>
      </c>
      <c r="G29" s="175" t="s">
        <v>433</v>
      </c>
      <c r="H29" s="172">
        <v>50</v>
      </c>
      <c r="I29" s="175">
        <f t="shared" si="3"/>
        <v>2.8457598178713718E-2</v>
      </c>
    </row>
    <row r="30" spans="2:9" ht="14.5">
      <c r="B30" s="172" t="s">
        <v>433</v>
      </c>
      <c r="C30" s="172">
        <v>356</v>
      </c>
      <c r="D30" s="172">
        <f t="shared" si="4"/>
        <v>7.2313629900467191E-2</v>
      </c>
      <c r="G30" s="172" t="s">
        <v>65</v>
      </c>
      <c r="H30" s="172">
        <v>41</v>
      </c>
      <c r="I30" s="175">
        <f t="shared" si="3"/>
        <v>2.3335230506545249E-2</v>
      </c>
    </row>
    <row r="31" spans="2:9" ht="14.5">
      <c r="B31" s="172" t="s">
        <v>276</v>
      </c>
      <c r="C31" s="172">
        <v>178</v>
      </c>
      <c r="D31" s="172">
        <f t="shared" si="4"/>
        <v>3.6156814950233596E-2</v>
      </c>
      <c r="G31" s="172" t="s">
        <v>431</v>
      </c>
      <c r="H31" s="172">
        <v>10</v>
      </c>
      <c r="I31" s="175">
        <f t="shared" si="3"/>
        <v>5.6915196357427431E-3</v>
      </c>
    </row>
    <row r="32" spans="2:9" ht="14.5">
      <c r="B32" s="172" t="s">
        <v>65</v>
      </c>
      <c r="C32" s="172">
        <v>147</v>
      </c>
      <c r="D32" s="172">
        <f t="shared" si="4"/>
        <v>2.9859841560024376E-2</v>
      </c>
      <c r="G32" s="175" t="s">
        <v>434</v>
      </c>
      <c r="H32" s="172">
        <v>3</v>
      </c>
      <c r="I32" s="175">
        <f t="shared" si="3"/>
        <v>1.7074558907228231E-3</v>
      </c>
    </row>
    <row r="33" spans="2:9">
      <c r="B33" s="172" t="s">
        <v>432</v>
      </c>
      <c r="C33" s="172">
        <v>346</v>
      </c>
      <c r="D33" s="172">
        <f t="shared" si="4"/>
        <v>7.0282348161690031E-2</v>
      </c>
      <c r="G33" s="172"/>
      <c r="H33" s="172"/>
      <c r="I33" s="172"/>
    </row>
    <row r="34" spans="2:9">
      <c r="B34" s="172" t="s">
        <v>145</v>
      </c>
      <c r="C34" s="174">
        <f>SUM(C24:C33)</f>
        <v>4923</v>
      </c>
      <c r="D34" s="172"/>
      <c r="G34" s="172"/>
      <c r="H34" s="172">
        <f>SUM(H24:H32)</f>
        <v>1757</v>
      </c>
      <c r="I34" s="172"/>
    </row>
    <row r="36" spans="2:9" ht="14.5">
      <c r="B36" s="170" t="s">
        <v>435</v>
      </c>
      <c r="C36" s="170">
        <f>SUM(C24:C27)</f>
        <v>2611</v>
      </c>
      <c r="D36" s="179">
        <f>C36/SUM($C$36:$C$38)</f>
        <v>0.55026343519494203</v>
      </c>
    </row>
    <row r="37" spans="2:9" ht="14.5">
      <c r="B37" s="170" t="s">
        <v>65</v>
      </c>
      <c r="C37" s="170">
        <f>C28+C30+C329+C33+C32</f>
        <v>1732</v>
      </c>
      <c r="D37" s="179">
        <f>C37/SUM($C$36:$C$38)</f>
        <v>0.36501580611169654</v>
      </c>
    </row>
    <row r="38" spans="2:9" ht="14.5">
      <c r="B38" s="170" t="s">
        <v>45</v>
      </c>
      <c r="C38" s="170">
        <f>C29</f>
        <v>402</v>
      </c>
      <c r="D38" s="179">
        <f>C38/SUM($C$36:$C$38)</f>
        <v>8.4720758693361431E-2</v>
      </c>
    </row>
    <row r="40" spans="2:9">
      <c r="C40" s="180">
        <f>C34-SUM(C36:C38)</f>
        <v>178</v>
      </c>
    </row>
  </sheetData>
  <hyperlinks>
    <hyperlink ref="B2" r:id="rId1" xr:uid="{B5B1A9C8-164B-461D-8A26-B13EAFE275A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Legend</vt:lpstr>
      <vt:lpstr>Regions</vt:lpstr>
      <vt:lpstr>EB_SRV</vt:lpstr>
      <vt:lpstr>Key Inputs</vt:lpstr>
      <vt:lpstr>Commodities</vt:lpstr>
      <vt:lpstr>Fuel Techs</vt:lpstr>
      <vt:lpstr>Building stock</vt:lpstr>
      <vt:lpstr>TH_Techs</vt:lpstr>
      <vt:lpstr>CK_Techs</vt:lpstr>
      <vt:lpstr>EAP_Techs</vt:lpstr>
      <vt:lpstr>PLIG_Techs</vt:lpstr>
      <vt:lpstr>DCE_Techs</vt:lpstr>
      <vt:lpstr>Emissions</vt:lpstr>
      <vt:lpstr>EB2018</vt:lpstr>
      <vt:lpstr>CSO data</vt:lpstr>
      <vt:lpstr>Public SEAI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Rocco2</dc:creator>
  <cp:lastModifiedBy>Bakytzhan Suleimenov</cp:lastModifiedBy>
  <dcterms:created xsi:type="dcterms:W3CDTF">2014-12-22T10:04:48Z</dcterms:created>
  <dcterms:modified xsi:type="dcterms:W3CDTF">2025-03-19T16:51:34Z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129430115222930</vt:r8>
  </property>
</Properties>
</file>