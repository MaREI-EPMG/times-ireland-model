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hreadedComments/threadedComment2.xml" ContentType="application/vnd.ms-excel.threadedcomments+xml"/>
  <Override PartName="/xl/comments7.xml" ContentType="application/vnd.openxmlformats-officedocument.spreadsheetml.comments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omments8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"/>
    </mc:Choice>
  </mc:AlternateContent>
  <xr:revisionPtr revIDLastSave="0" documentId="13_ncr:1_{2A33D840-E74C-441E-8413-389AF506427D}" xr6:coauthVersionLast="47" xr6:coauthVersionMax="47" xr10:uidLastSave="{00000000-0000-0000-0000-000000000000}"/>
  <bookViews>
    <workbookView xWindow="-110" yWindow="10690" windowWidth="19420" windowHeight="10300" firstSheet="4" activeTab="9" xr2:uid="{00000000-000D-0000-FFFF-FFFF00000000}"/>
  </bookViews>
  <sheets>
    <sheet name="Cover" sheetId="23" r:id="rId1"/>
    <sheet name="Regions" sheetId="22" r:id="rId2"/>
    <sheet name="EB2018" sheetId="13" r:id="rId3"/>
    <sheet name="CONVENTIONS" sheetId="20" r:id="rId4"/>
    <sheet name="Commodities" sheetId="4" r:id="rId5"/>
    <sheet name="Processes" sheetId="21" r:id="rId6"/>
    <sheet name="SUP_FuelTech" sheetId="17" r:id="rId7"/>
    <sheet name="Imports_Fossil" sheetId="2" r:id="rId8"/>
    <sheet name="Import CO2" sheetId="24" r:id="rId9"/>
    <sheet name="Imports_Bio" sheetId="7" r:id="rId10"/>
    <sheet name="Domestic" sheetId="3" r:id="rId11"/>
    <sheet name="Domestic_Bio" sheetId="10" r:id="rId12"/>
    <sheet name="Refinery" sheetId="12" r:id="rId13"/>
    <sheet name="Interconnector" sheetId="5" r:id="rId14"/>
    <sheet name="Emi" sheetId="19" r:id="rId15"/>
    <sheet name="SEAI-AEA_BioData" sheetId="9" r:id="rId16"/>
    <sheet name="Conversions" sheetId="16" r:id="rId17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6" i="7" l="1"/>
  <c r="G26" i="7"/>
  <c r="I25" i="7"/>
  <c r="G25" i="7"/>
  <c r="G104" i="2"/>
  <c r="G102" i="2"/>
  <c r="F104" i="2"/>
  <c r="F102" i="2"/>
  <c r="E103" i="2"/>
  <c r="E104" i="2"/>
  <c r="E105" i="2"/>
  <c r="E106" i="2"/>
  <c r="E107" i="2"/>
  <c r="E108" i="2"/>
  <c r="E102" i="2"/>
  <c r="D103" i="2"/>
  <c r="D104" i="2"/>
  <c r="D105" i="2"/>
  <c r="D106" i="2"/>
  <c r="D107" i="2"/>
  <c r="D108" i="2"/>
  <c r="D102" i="2"/>
  <c r="E121" i="2"/>
  <c r="C26" i="7"/>
  <c r="F26" i="7"/>
  <c r="C32" i="21"/>
  <c r="B32" i="21"/>
  <c r="G55" i="7"/>
  <c r="F54" i="7"/>
  <c r="M69" i="7"/>
  <c r="M55" i="7" s="1"/>
  <c r="L69" i="7"/>
  <c r="L55" i="7" s="1"/>
  <c r="K69" i="7"/>
  <c r="K55" i="7" s="1"/>
  <c r="J69" i="7"/>
  <c r="J55" i="7" s="1"/>
  <c r="I69" i="7"/>
  <c r="I55" i="7" s="1"/>
  <c r="H69" i="7"/>
  <c r="H55" i="7" s="1"/>
  <c r="I70" i="7"/>
  <c r="J70" i="7" s="1"/>
  <c r="K70" i="7" s="1"/>
  <c r="L70" i="7" s="1"/>
  <c r="K71" i="7"/>
  <c r="L71" i="7" s="1"/>
  <c r="M71" i="7" s="1"/>
  <c r="J71" i="7"/>
  <c r="J68" i="7"/>
  <c r="J54" i="7" s="1"/>
  <c r="M68" i="7"/>
  <c r="M54" i="7" s="1"/>
  <c r="L68" i="7"/>
  <c r="L54" i="7" s="1"/>
  <c r="K68" i="7"/>
  <c r="K54" i="7" s="1"/>
  <c r="I68" i="7"/>
  <c r="I54" i="7" s="1"/>
  <c r="H68" i="7"/>
  <c r="G68" i="7"/>
  <c r="G72" i="7" s="1"/>
  <c r="V19" i="9"/>
  <c r="N18" i="9"/>
  <c r="L19" i="9"/>
  <c r="E71" i="7"/>
  <c r="F71" i="7" s="1"/>
  <c r="H16" i="7" s="1"/>
  <c r="E70" i="7"/>
  <c r="F70" i="7" s="1"/>
  <c r="I15" i="7" s="1"/>
  <c r="E69" i="7"/>
  <c r="F69" i="7" s="1"/>
  <c r="E68" i="7"/>
  <c r="F68" i="7" s="1"/>
  <c r="C12" i="24"/>
  <c r="C5" i="24"/>
  <c r="J5" i="5"/>
  <c r="J6" i="5"/>
  <c r="M11" i="5"/>
  <c r="B84" i="21"/>
  <c r="C84" i="21"/>
  <c r="B5" i="5" s="1"/>
  <c r="B85" i="21"/>
  <c r="C85" i="21"/>
  <c r="B6" i="5" s="1"/>
  <c r="J80" i="20"/>
  <c r="J79" i="20"/>
  <c r="I80" i="20"/>
  <c r="G80" i="20" s="1"/>
  <c r="H80" i="20"/>
  <c r="I79" i="20"/>
  <c r="G79" i="20" s="1"/>
  <c r="H79" i="20"/>
  <c r="AJ26" i="13"/>
  <c r="T26" i="13"/>
  <c r="D26" i="13"/>
  <c r="AB25" i="13"/>
  <c r="AQ25" i="13" s="1"/>
  <c r="L25" i="13"/>
  <c r="H25" i="13"/>
  <c r="C25" i="13"/>
  <c r="AB24" i="13"/>
  <c r="L24" i="13"/>
  <c r="E24" i="13"/>
  <c r="C24" i="13"/>
  <c r="AQ24" i="13" s="1"/>
  <c r="AQ23" i="13"/>
  <c r="AD22" i="13"/>
  <c r="AC22" i="13"/>
  <c r="AB22" i="13" s="1"/>
  <c r="AP21" i="13"/>
  <c r="AN21" i="13"/>
  <c r="AM21" i="13"/>
  <c r="AL21" i="13"/>
  <c r="AK21" i="13"/>
  <c r="AJ21" i="13"/>
  <c r="AI21" i="13"/>
  <c r="AH21" i="13"/>
  <c r="AG21" i="13"/>
  <c r="AF21" i="13"/>
  <c r="AE21" i="13"/>
  <c r="AD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 s="1"/>
  <c r="K21" i="13"/>
  <c r="J21" i="13"/>
  <c r="I21" i="13"/>
  <c r="H21" i="13" s="1"/>
  <c r="G21" i="13"/>
  <c r="F21" i="13"/>
  <c r="E21" i="13"/>
  <c r="D21" i="13"/>
  <c r="C21" i="13"/>
  <c r="AB20" i="13"/>
  <c r="AQ20" i="13" s="1"/>
  <c r="L20" i="13"/>
  <c r="H20" i="13"/>
  <c r="AB19" i="13"/>
  <c r="L19" i="13"/>
  <c r="H19" i="13"/>
  <c r="AQ19" i="13" s="1"/>
  <c r="AQ18" i="13"/>
  <c r="AB17" i="13"/>
  <c r="L17" i="13"/>
  <c r="H17" i="13"/>
  <c r="C17" i="13"/>
  <c r="AQ17" i="13" s="1"/>
  <c r="AB16" i="13"/>
  <c r="AB15" i="13" s="1"/>
  <c r="L16" i="13"/>
  <c r="L15" i="13" s="1"/>
  <c r="H16" i="13"/>
  <c r="C16" i="13"/>
  <c r="AQ16" i="13" s="1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K15" i="13"/>
  <c r="J15" i="13"/>
  <c r="I15" i="13"/>
  <c r="H15" i="13"/>
  <c r="G15" i="13"/>
  <c r="F15" i="13"/>
  <c r="E15" i="13"/>
  <c r="D15" i="13"/>
  <c r="AB14" i="13"/>
  <c r="L14" i="13"/>
  <c r="H14" i="13"/>
  <c r="C14" i="13"/>
  <c r="AQ14" i="13" s="1"/>
  <c r="AB13" i="13"/>
  <c r="L13" i="13"/>
  <c r="H13" i="13"/>
  <c r="C13" i="13"/>
  <c r="AQ13" i="13" s="1"/>
  <c r="AQ12" i="13"/>
  <c r="AB11" i="13"/>
  <c r="L11" i="13"/>
  <c r="AQ11" i="13" s="1"/>
  <c r="H11" i="13"/>
  <c r="C11" i="13"/>
  <c r="AB10" i="13"/>
  <c r="AB9" i="13" s="1"/>
  <c r="L10" i="13"/>
  <c r="H10" i="13"/>
  <c r="C10" i="13"/>
  <c r="AQ10" i="13" s="1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AN8" i="13"/>
  <c r="AF8" i="13"/>
  <c r="X8" i="13"/>
  <c r="P8" i="13"/>
  <c r="AP7" i="13"/>
  <c r="AP26" i="13" s="1"/>
  <c r="AO7" i="13"/>
  <c r="AN7" i="13"/>
  <c r="AN26" i="13" s="1"/>
  <c r="AM7" i="13"/>
  <c r="AM8" i="13" s="1"/>
  <c r="AL7" i="13"/>
  <c r="AL8" i="13" s="1"/>
  <c r="AK7" i="13"/>
  <c r="AK8" i="13" s="1"/>
  <c r="AJ7" i="13"/>
  <c r="AJ8" i="13" s="1"/>
  <c r="AI7" i="13"/>
  <c r="AI26" i="13" s="1"/>
  <c r="AH7" i="13"/>
  <c r="AH26" i="13" s="1"/>
  <c r="AG7" i="13"/>
  <c r="AG26" i="13" s="1"/>
  <c r="AF7" i="13"/>
  <c r="AF26" i="13" s="1"/>
  <c r="AE7" i="13"/>
  <c r="AE8" i="13" s="1"/>
  <c r="AD7" i="13"/>
  <c r="AD8" i="13" s="1"/>
  <c r="AC7" i="13"/>
  <c r="AC8" i="13" s="1"/>
  <c r="AA7" i="13"/>
  <c r="AA26" i="13" s="1"/>
  <c r="Z7" i="13"/>
  <c r="Z26" i="13" s="1"/>
  <c r="Y7" i="13"/>
  <c r="Y26" i="13" s="1"/>
  <c r="X7" i="13"/>
  <c r="X26" i="13" s="1"/>
  <c r="W7" i="13"/>
  <c r="W8" i="13" s="1"/>
  <c r="V7" i="13"/>
  <c r="V8" i="13" s="1"/>
  <c r="U7" i="13"/>
  <c r="U8" i="13" s="1"/>
  <c r="T7" i="13"/>
  <c r="T8" i="13" s="1"/>
  <c r="S7" i="13"/>
  <c r="S26" i="13" s="1"/>
  <c r="R7" i="13"/>
  <c r="R26" i="13" s="1"/>
  <c r="Q7" i="13"/>
  <c r="Q26" i="13" s="1"/>
  <c r="P7" i="13"/>
  <c r="P26" i="13" s="1"/>
  <c r="O7" i="13"/>
  <c r="O8" i="13" s="1"/>
  <c r="N7" i="13"/>
  <c r="N8" i="13" s="1"/>
  <c r="M7" i="13"/>
  <c r="M8" i="13" s="1"/>
  <c r="K7" i="13"/>
  <c r="K26" i="13" s="1"/>
  <c r="J7" i="13"/>
  <c r="J26" i="13" s="1"/>
  <c r="I7" i="13"/>
  <c r="I26" i="13" s="1"/>
  <c r="G7" i="13"/>
  <c r="G8" i="13" s="1"/>
  <c r="F7" i="13"/>
  <c r="F8" i="13" s="1"/>
  <c r="E7" i="13"/>
  <c r="E8" i="13" s="1"/>
  <c r="D7" i="13"/>
  <c r="D8" i="13" s="1"/>
  <c r="AB6" i="13"/>
  <c r="L6" i="13"/>
  <c r="H6" i="13"/>
  <c r="C6" i="13"/>
  <c r="AQ6" i="13" s="1"/>
  <c r="AB5" i="13"/>
  <c r="L5" i="13"/>
  <c r="H5" i="13"/>
  <c r="C5" i="13"/>
  <c r="AQ5" i="13" s="1"/>
  <c r="AB4" i="13"/>
  <c r="L4" i="13"/>
  <c r="H4" i="13"/>
  <c r="AQ4" i="13" s="1"/>
  <c r="C4" i="13"/>
  <c r="AB3" i="13"/>
  <c r="L3" i="13"/>
  <c r="H3" i="13"/>
  <c r="C3" i="13"/>
  <c r="AQ3" i="13" s="1"/>
  <c r="AQ2" i="13"/>
  <c r="AB2" i="13"/>
  <c r="AB7" i="13" s="1"/>
  <c r="L2" i="13"/>
  <c r="L7" i="13" s="1"/>
  <c r="H2" i="13"/>
  <c r="H7" i="13" s="1"/>
  <c r="C2" i="13"/>
  <c r="C7" i="13" s="1"/>
  <c r="C59" i="4"/>
  <c r="D59" i="4"/>
  <c r="C58" i="4"/>
  <c r="F5" i="5" s="1"/>
  <c r="M58" i="7" l="1"/>
  <c r="L58" i="7"/>
  <c r="K58" i="7"/>
  <c r="I58" i="7"/>
  <c r="J58" i="7"/>
  <c r="H72" i="7"/>
  <c r="H54" i="7"/>
  <c r="H58" i="7" s="1"/>
  <c r="G54" i="7"/>
  <c r="G58" i="7" s="1"/>
  <c r="I72" i="7"/>
  <c r="L72" i="7"/>
  <c r="M70" i="7"/>
  <c r="K72" i="7"/>
  <c r="M72" i="7"/>
  <c r="J72" i="7"/>
  <c r="G13" i="7"/>
  <c r="F13" i="7"/>
  <c r="H13" i="7"/>
  <c r="I13" i="7"/>
  <c r="J13" i="7"/>
  <c r="K13" i="7"/>
  <c r="J14" i="7"/>
  <c r="K14" i="7"/>
  <c r="I14" i="7"/>
  <c r="G14" i="7"/>
  <c r="H14" i="7"/>
  <c r="F14" i="7"/>
  <c r="K15" i="7"/>
  <c r="F15" i="7"/>
  <c r="J15" i="7"/>
  <c r="K16" i="7"/>
  <c r="H15" i="7"/>
  <c r="G16" i="7"/>
  <c r="F16" i="7"/>
  <c r="J16" i="7"/>
  <c r="G15" i="7"/>
  <c r="I16" i="7"/>
  <c r="E6" i="5"/>
  <c r="F79" i="20"/>
  <c r="E84" i="21" s="1"/>
  <c r="D5" i="5" s="1"/>
  <c r="E80" i="20"/>
  <c r="D85" i="21" s="1"/>
  <c r="C6" i="5" s="1"/>
  <c r="E79" i="20"/>
  <c r="D84" i="21" s="1"/>
  <c r="C5" i="5" s="1"/>
  <c r="C8" i="13"/>
  <c r="AQ8" i="13" s="1"/>
  <c r="AQ7" i="13"/>
  <c r="H8" i="13"/>
  <c r="H26" i="13"/>
  <c r="L8" i="13"/>
  <c r="L26" i="13"/>
  <c r="AB8" i="13"/>
  <c r="AB26" i="13"/>
  <c r="AB21" i="13"/>
  <c r="AO22" i="13"/>
  <c r="AO21" i="13" s="1"/>
  <c r="AO26" i="13" s="1"/>
  <c r="AC21" i="13"/>
  <c r="AC26" i="13" s="1"/>
  <c r="I8" i="13"/>
  <c r="Q8" i="13"/>
  <c r="Y8" i="13"/>
  <c r="AG8" i="13"/>
  <c r="AO8" i="13"/>
  <c r="E26" i="13"/>
  <c r="M26" i="13"/>
  <c r="U26" i="13"/>
  <c r="AK26" i="13"/>
  <c r="J8" i="13"/>
  <c r="R8" i="13"/>
  <c r="Z8" i="13"/>
  <c r="AH8" i="13"/>
  <c r="AP8" i="13"/>
  <c r="C15" i="13"/>
  <c r="AQ15" i="13" s="1"/>
  <c r="F26" i="13"/>
  <c r="N26" i="13"/>
  <c r="V26" i="13"/>
  <c r="AD26" i="13"/>
  <c r="AL26" i="13"/>
  <c r="K8" i="13"/>
  <c r="S8" i="13"/>
  <c r="AA8" i="13"/>
  <c r="AI8" i="13"/>
  <c r="G26" i="13"/>
  <c r="O26" i="13"/>
  <c r="W26" i="13"/>
  <c r="AE26" i="13"/>
  <c r="AM26" i="13"/>
  <c r="C9" i="13"/>
  <c r="AQ9" i="13" s="1"/>
  <c r="L5" i="3"/>
  <c r="K5" i="3"/>
  <c r="J5" i="3"/>
  <c r="I5" i="3"/>
  <c r="F22" i="7"/>
  <c r="H23" i="7"/>
  <c r="I23" i="7"/>
  <c r="J23" i="7"/>
  <c r="K23" i="7"/>
  <c r="L23" i="7"/>
  <c r="G23" i="7"/>
  <c r="F80" i="20" l="1"/>
  <c r="E85" i="21" s="1"/>
  <c r="D6" i="5" s="1"/>
  <c r="C26" i="13"/>
  <c r="AQ26" i="13" s="1"/>
  <c r="AQ22" i="13"/>
  <c r="AQ21" i="13" s="1"/>
  <c r="H20" i="2"/>
  <c r="H18" i="2"/>
  <c r="H17" i="2"/>
  <c r="H16" i="2"/>
  <c r="H15" i="2"/>
  <c r="H14" i="2"/>
  <c r="H13" i="2"/>
  <c r="H12" i="2"/>
  <c r="H11" i="2"/>
  <c r="H10" i="2"/>
  <c r="H9" i="2"/>
  <c r="N52" i="2"/>
  <c r="M52" i="2"/>
  <c r="L52" i="2"/>
  <c r="K52" i="2"/>
  <c r="J52" i="2"/>
  <c r="I52" i="2"/>
  <c r="H52" i="2"/>
  <c r="G52" i="2"/>
  <c r="G57" i="2" s="1"/>
  <c r="E52" i="2"/>
  <c r="N51" i="2"/>
  <c r="M51" i="2"/>
  <c r="L51" i="2"/>
  <c r="K51" i="2"/>
  <c r="J51" i="2"/>
  <c r="I51" i="2"/>
  <c r="H51" i="2"/>
  <c r="H56" i="2" s="1"/>
  <c r="G51" i="2"/>
  <c r="E51" i="2"/>
  <c r="N50" i="2"/>
  <c r="M50" i="2"/>
  <c r="L50" i="2"/>
  <c r="K50" i="2"/>
  <c r="J50" i="2"/>
  <c r="I50" i="2"/>
  <c r="I55" i="2" s="1"/>
  <c r="H50" i="2"/>
  <c r="G50" i="2"/>
  <c r="E50" i="2"/>
  <c r="F52" i="2"/>
  <c r="F57" i="2" s="1"/>
  <c r="H8" i="2" s="1"/>
  <c r="F51" i="2"/>
  <c r="F50" i="2"/>
  <c r="F55" i="2" s="1"/>
  <c r="H6" i="2" s="1"/>
  <c r="N57" i="2"/>
  <c r="C57" i="2"/>
  <c r="M56" i="2"/>
  <c r="C56" i="2"/>
  <c r="C55" i="2"/>
  <c r="N54" i="2"/>
  <c r="M54" i="2"/>
  <c r="L54" i="2"/>
  <c r="K54" i="2"/>
  <c r="J54" i="2"/>
  <c r="I54" i="2"/>
  <c r="H54" i="2"/>
  <c r="G54" i="2"/>
  <c r="F54" i="2"/>
  <c r="E54" i="2"/>
  <c r="M57" i="2"/>
  <c r="L57" i="2"/>
  <c r="K57" i="2"/>
  <c r="I57" i="2"/>
  <c r="H57" i="2"/>
  <c r="E57" i="2"/>
  <c r="C52" i="2"/>
  <c r="N56" i="2"/>
  <c r="L56" i="2"/>
  <c r="K56" i="2"/>
  <c r="I56" i="2"/>
  <c r="G56" i="2"/>
  <c r="F56" i="2"/>
  <c r="H7" i="2" s="1"/>
  <c r="E56" i="2"/>
  <c r="C51" i="2"/>
  <c r="N55" i="2"/>
  <c r="M55" i="2"/>
  <c r="L55" i="2"/>
  <c r="K55" i="2"/>
  <c r="J55" i="2"/>
  <c r="H55" i="2"/>
  <c r="G55" i="2"/>
  <c r="E55" i="2"/>
  <c r="C50" i="2"/>
  <c r="N49" i="2"/>
  <c r="M49" i="2"/>
  <c r="L49" i="2"/>
  <c r="K49" i="2"/>
  <c r="J49" i="2"/>
  <c r="I49" i="2"/>
  <c r="H49" i="2"/>
  <c r="G49" i="2"/>
  <c r="F49" i="2"/>
  <c r="E49" i="2"/>
  <c r="J57" i="2"/>
  <c r="J56" i="2"/>
  <c r="F36" i="2"/>
  <c r="G36" i="2"/>
  <c r="H36" i="2"/>
  <c r="I36" i="2"/>
  <c r="J36" i="2"/>
  <c r="K36" i="2"/>
  <c r="L36" i="2"/>
  <c r="M36" i="2"/>
  <c r="N36" i="2"/>
  <c r="E36" i="2"/>
  <c r="F31" i="2"/>
  <c r="G31" i="2"/>
  <c r="H31" i="2"/>
  <c r="I31" i="2"/>
  <c r="J31" i="2"/>
  <c r="K31" i="2"/>
  <c r="L31" i="2"/>
  <c r="M31" i="2"/>
  <c r="N31" i="2"/>
  <c r="E31" i="2"/>
  <c r="F32" i="2"/>
  <c r="G32" i="2"/>
  <c r="G37" i="2" s="1"/>
  <c r="H32" i="2"/>
  <c r="I32" i="2"/>
  <c r="I37" i="2" s="1"/>
  <c r="J32" i="2"/>
  <c r="J37" i="2" s="1"/>
  <c r="K32" i="2"/>
  <c r="L32" i="2"/>
  <c r="M32" i="2"/>
  <c r="N32" i="2"/>
  <c r="F33" i="2"/>
  <c r="F38" i="2" s="1"/>
  <c r="G33" i="2"/>
  <c r="G38" i="2" s="1"/>
  <c r="H33" i="2"/>
  <c r="H38" i="2" s="1"/>
  <c r="I33" i="2"/>
  <c r="I38" i="2" s="1"/>
  <c r="K33" i="2"/>
  <c r="K38" i="2" s="1"/>
  <c r="L33" i="2"/>
  <c r="L38" i="2" s="1"/>
  <c r="M33" i="2"/>
  <c r="M38" i="2" s="1"/>
  <c r="N33" i="2"/>
  <c r="N38" i="2" s="1"/>
  <c r="F34" i="2"/>
  <c r="F39" i="2" s="1"/>
  <c r="I8" i="2" s="1"/>
  <c r="G34" i="2"/>
  <c r="H34" i="2"/>
  <c r="H39" i="2" s="1"/>
  <c r="I34" i="2"/>
  <c r="I39" i="2" s="1"/>
  <c r="K34" i="2"/>
  <c r="K39" i="2" s="1"/>
  <c r="L34" i="2"/>
  <c r="L39" i="2" s="1"/>
  <c r="M34" i="2"/>
  <c r="M39" i="2" s="1"/>
  <c r="N34" i="2"/>
  <c r="N39" i="2" s="1"/>
  <c r="E33" i="2"/>
  <c r="E38" i="2" s="1"/>
  <c r="E34" i="2"/>
  <c r="E39" i="2" s="1"/>
  <c r="E32" i="2"/>
  <c r="G39" i="2"/>
  <c r="C5" i="16"/>
  <c r="H37" i="2" l="1"/>
  <c r="K37" i="2"/>
  <c r="L37" i="2"/>
  <c r="E37" i="2"/>
  <c r="M37" i="2"/>
  <c r="F37" i="2"/>
  <c r="N37" i="2"/>
  <c r="C39" i="2"/>
  <c r="C38" i="2"/>
  <c r="C37" i="2"/>
  <c r="C33" i="2"/>
  <c r="C34" i="2"/>
  <c r="C32" i="2"/>
  <c r="C92" i="21"/>
  <c r="B10" i="17" s="1"/>
  <c r="C91" i="21"/>
  <c r="B9" i="17" s="1"/>
  <c r="C90" i="21"/>
  <c r="B8" i="17" s="1"/>
  <c r="C89" i="21"/>
  <c r="B7" i="17" s="1"/>
  <c r="C88" i="21"/>
  <c r="B6" i="17" s="1"/>
  <c r="C86" i="21"/>
  <c r="B5" i="12" s="1"/>
  <c r="C81" i="21"/>
  <c r="B34" i="10" s="1"/>
  <c r="C80" i="21"/>
  <c r="B24" i="10" s="1"/>
  <c r="C79" i="21"/>
  <c r="B14" i="10" s="1"/>
  <c r="C78" i="21"/>
  <c r="B32" i="10" s="1"/>
  <c r="C77" i="21"/>
  <c r="B22" i="10" s="1"/>
  <c r="C76" i="21"/>
  <c r="B12" i="10" s="1"/>
  <c r="C75" i="21"/>
  <c r="B31" i="10" s="1"/>
  <c r="C74" i="21"/>
  <c r="B21" i="10" s="1"/>
  <c r="C73" i="21"/>
  <c r="B11" i="10" s="1"/>
  <c r="C72" i="21"/>
  <c r="B29" i="10" s="1"/>
  <c r="C71" i="21"/>
  <c r="B19" i="10" s="1"/>
  <c r="C70" i="21"/>
  <c r="B9" i="10" s="1"/>
  <c r="C69" i="21"/>
  <c r="B28" i="10" s="1"/>
  <c r="C68" i="21"/>
  <c r="B18" i="10" s="1"/>
  <c r="C67" i="21"/>
  <c r="B8" i="10" s="1"/>
  <c r="C66" i="21"/>
  <c r="B33" i="10" s="1"/>
  <c r="C65" i="21"/>
  <c r="C64" i="21"/>
  <c r="B13" i="10" s="1"/>
  <c r="C63" i="21"/>
  <c r="B27" i="10" s="1"/>
  <c r="C62" i="21"/>
  <c r="B17" i="10" s="1"/>
  <c r="C61" i="21"/>
  <c r="C60" i="21"/>
  <c r="B30" i="10" s="1"/>
  <c r="C59" i="21"/>
  <c r="B20" i="10" s="1"/>
  <c r="C58" i="21"/>
  <c r="B10" i="10" s="1"/>
  <c r="C57" i="21"/>
  <c r="B26" i="10" s="1"/>
  <c r="C56" i="21"/>
  <c r="B16" i="10" s="1"/>
  <c r="C55" i="21"/>
  <c r="B6" i="10" s="1"/>
  <c r="C54" i="21"/>
  <c r="B25" i="10" s="1"/>
  <c r="C53" i="21"/>
  <c r="B15" i="10" s="1"/>
  <c r="C52" i="21"/>
  <c r="B5" i="10" s="1"/>
  <c r="C51" i="21"/>
  <c r="B21" i="3" s="1"/>
  <c r="C50" i="21"/>
  <c r="B20" i="3" s="1"/>
  <c r="C49" i="21"/>
  <c r="B19" i="3" s="1"/>
  <c r="C48" i="21"/>
  <c r="B18" i="3" s="1"/>
  <c r="C47" i="21"/>
  <c r="B17" i="3" s="1"/>
  <c r="C46" i="21"/>
  <c r="B16" i="3" s="1"/>
  <c r="C45" i="21"/>
  <c r="B8" i="3" s="1"/>
  <c r="C44" i="21"/>
  <c r="B7" i="3" s="1"/>
  <c r="C43" i="21"/>
  <c r="B6" i="3" s="1"/>
  <c r="C42" i="21"/>
  <c r="B5" i="3" s="1"/>
  <c r="C40" i="21"/>
  <c r="B20" i="7" s="1"/>
  <c r="B62" i="7" s="1"/>
  <c r="C39" i="21"/>
  <c r="B19" i="7" s="1"/>
  <c r="B61" i="7" s="1"/>
  <c r="C38" i="21"/>
  <c r="B18" i="7" s="1"/>
  <c r="B60" i="7" s="1"/>
  <c r="C37" i="21"/>
  <c r="B17" i="7" s="1"/>
  <c r="B59" i="7" s="1"/>
  <c r="C36" i="21"/>
  <c r="B16" i="7" s="1"/>
  <c r="C35" i="21"/>
  <c r="B15" i="7" s="1"/>
  <c r="B56" i="7" s="1"/>
  <c r="B57" i="7" s="1"/>
  <c r="C34" i="21"/>
  <c r="B14" i="7" s="1"/>
  <c r="B55" i="7" s="1"/>
  <c r="C33" i="21"/>
  <c r="B13" i="7" s="1"/>
  <c r="C31" i="21"/>
  <c r="B25" i="7" s="1"/>
  <c r="B26" i="7" s="1"/>
  <c r="C30" i="21"/>
  <c r="B12" i="7" s="1"/>
  <c r="B52" i="7" s="1"/>
  <c r="C29" i="21"/>
  <c r="B11" i="7" s="1"/>
  <c r="B51" i="7" s="1"/>
  <c r="C28" i="21"/>
  <c r="B10" i="7" s="1"/>
  <c r="B50" i="7" s="1"/>
  <c r="C27" i="21"/>
  <c r="B9" i="7" s="1"/>
  <c r="B49" i="7" s="1"/>
  <c r="C26" i="21"/>
  <c r="B8" i="7" s="1"/>
  <c r="B47" i="7" s="1"/>
  <c r="C25" i="21"/>
  <c r="B7" i="7" s="1"/>
  <c r="B46" i="7" s="1"/>
  <c r="C24" i="21"/>
  <c r="B6" i="7" s="1"/>
  <c r="B45" i="7" s="1"/>
  <c r="C23" i="21"/>
  <c r="B5" i="7" s="1"/>
  <c r="B44" i="7" s="1"/>
  <c r="C21" i="21"/>
  <c r="C19" i="2" s="1"/>
  <c r="C20" i="21"/>
  <c r="C12" i="2" s="1"/>
  <c r="C19" i="21"/>
  <c r="C7" i="2" s="1"/>
  <c r="C18" i="21"/>
  <c r="C20" i="2" s="1"/>
  <c r="C17" i="21"/>
  <c r="C18" i="2" s="1"/>
  <c r="C16" i="21"/>
  <c r="C14" i="2" s="1"/>
  <c r="C15" i="21"/>
  <c r="C17" i="2" s="1"/>
  <c r="C14" i="21"/>
  <c r="C13" i="2" s="1"/>
  <c r="C13" i="21"/>
  <c r="C15" i="2" s="1"/>
  <c r="C12" i="21"/>
  <c r="C16" i="2" s="1"/>
  <c r="C11" i="21"/>
  <c r="C6" i="2" s="1"/>
  <c r="C10" i="21"/>
  <c r="C11" i="2" s="1"/>
  <c r="C9" i="21"/>
  <c r="C10" i="2" s="1"/>
  <c r="C8" i="21"/>
  <c r="C8" i="2" s="1"/>
  <c r="C7" i="21"/>
  <c r="C9" i="2" s="1"/>
  <c r="B23" i="10"/>
  <c r="AD7" i="22"/>
  <c r="AC7" i="22"/>
  <c r="AB7" i="22"/>
  <c r="W7" i="22"/>
  <c r="D7" i="22"/>
  <c r="C7" i="22"/>
  <c r="AD6" i="22"/>
  <c r="AC6" i="22"/>
  <c r="X6" i="22"/>
  <c r="W6" i="22"/>
  <c r="V6" i="22"/>
  <c r="U6" i="22"/>
  <c r="P6" i="22"/>
  <c r="O6" i="22"/>
  <c r="N6" i="22"/>
  <c r="M6" i="22"/>
  <c r="H6" i="22"/>
  <c r="G6" i="22"/>
  <c r="F6" i="22"/>
  <c r="E6" i="22"/>
  <c r="D6" i="22"/>
  <c r="C6" i="22"/>
  <c r="AD5" i="22"/>
  <c r="AC5" i="22"/>
  <c r="AB5" i="22"/>
  <c r="AB6" i="22" s="1"/>
  <c r="AA5" i="22"/>
  <c r="AA7" i="22" s="1"/>
  <c r="Z5" i="22"/>
  <c r="Z3" i="22" s="1" a="1"/>
  <c r="Z3" i="22" s="1"/>
  <c r="Y5" i="22"/>
  <c r="Y7" i="22" s="1"/>
  <c r="X5" i="22"/>
  <c r="X7" i="22" s="1"/>
  <c r="W5" i="22"/>
  <c r="V5" i="22"/>
  <c r="V7" i="22" s="1"/>
  <c r="U5" i="22"/>
  <c r="U7" i="22" s="1"/>
  <c r="T5" i="22"/>
  <c r="T6" i="22" s="1"/>
  <c r="S5" i="22"/>
  <c r="S7" i="22" s="1"/>
  <c r="R5" i="22"/>
  <c r="R3" i="22" s="1" a="1"/>
  <c r="R3" i="22" s="1"/>
  <c r="Q5" i="22"/>
  <c r="Q7" i="22" s="1"/>
  <c r="P5" i="22"/>
  <c r="P7" i="22" s="1"/>
  <c r="O5" i="22"/>
  <c r="O7" i="22" s="1"/>
  <c r="N5" i="22"/>
  <c r="N7" i="22" s="1"/>
  <c r="M5" i="22"/>
  <c r="M7" i="22" s="1"/>
  <c r="L5" i="22"/>
  <c r="L6" i="22" s="1"/>
  <c r="K5" i="22"/>
  <c r="K7" i="22" s="1"/>
  <c r="J5" i="22"/>
  <c r="J3" i="22" s="1" a="1"/>
  <c r="J3" i="22" s="1"/>
  <c r="I5" i="22"/>
  <c r="I7" i="22" s="1"/>
  <c r="H5" i="22"/>
  <c r="H7" i="22" s="1"/>
  <c r="G5" i="22"/>
  <c r="G7" i="22" s="1"/>
  <c r="F5" i="22"/>
  <c r="F7" i="22" s="1"/>
  <c r="E5" i="22"/>
  <c r="E7" i="22" s="1"/>
  <c r="AD3" i="22"/>
  <c r="AD3" i="22" a="1"/>
  <c r="AC3" i="22"/>
  <c r="AC3" i="22" a="1"/>
  <c r="Y3" i="22"/>
  <c r="Y3" i="22" a="1"/>
  <c r="X3" i="22" a="1"/>
  <c r="X3" i="22" s="1"/>
  <c r="W3" i="22" a="1"/>
  <c r="W3" i="22" s="1"/>
  <c r="V3" i="22"/>
  <c r="V3" i="22" a="1"/>
  <c r="U3" i="22"/>
  <c r="U3" i="22" a="1"/>
  <c r="S3" i="22" a="1"/>
  <c r="S3" i="22" s="1"/>
  <c r="Q3" i="22"/>
  <c r="Q3" i="22" a="1"/>
  <c r="P3" i="22" a="1"/>
  <c r="P3" i="22" s="1"/>
  <c r="O3" i="22" a="1"/>
  <c r="O3" i="22" s="1"/>
  <c r="N3" i="22"/>
  <c r="N3" i="22" a="1"/>
  <c r="M3" i="22"/>
  <c r="M3" i="22" a="1"/>
  <c r="K3" i="22" a="1"/>
  <c r="K3" i="22" s="1"/>
  <c r="I3" i="22"/>
  <c r="I3" i="22" a="1"/>
  <c r="H3" i="22" a="1"/>
  <c r="H3" i="22" s="1"/>
  <c r="G3" i="22" a="1"/>
  <c r="G3" i="22" s="1"/>
  <c r="F3" i="22"/>
  <c r="F3" i="22" a="1"/>
  <c r="E3" i="22"/>
  <c r="E3" i="22" a="1"/>
  <c r="D3" i="22" a="1"/>
  <c r="D3" i="22" s="1"/>
  <c r="C3" i="22" a="1"/>
  <c r="C3" i="22" s="1"/>
  <c r="B7" i="10" l="1"/>
  <c r="B12" i="24"/>
  <c r="B33" i="7"/>
  <c r="B31" i="7"/>
  <c r="B54" i="7"/>
  <c r="B37" i="7"/>
  <c r="B32" i="7"/>
  <c r="B34" i="7"/>
  <c r="B35" i="7"/>
  <c r="B36" i="7"/>
  <c r="B38" i="7"/>
  <c r="L7" i="22"/>
  <c r="T7" i="22"/>
  <c r="AA3" i="22" a="1"/>
  <c r="AA3" i="22" s="1"/>
  <c r="I6" i="22"/>
  <c r="Q6" i="22"/>
  <c r="Y6" i="22"/>
  <c r="J6" i="22"/>
  <c r="R6" i="22"/>
  <c r="Z6" i="22"/>
  <c r="L3" i="22" a="1"/>
  <c r="L3" i="22" s="1"/>
  <c r="T3" i="22" a="1"/>
  <c r="T3" i="22" s="1"/>
  <c r="AB3" i="22" a="1"/>
  <c r="AB3" i="22" s="1"/>
  <c r="K6" i="22"/>
  <c r="S6" i="22"/>
  <c r="AA6" i="22"/>
  <c r="J7" i="22"/>
  <c r="Z7" i="22"/>
  <c r="R7" i="22"/>
  <c r="D35" i="12" l="1"/>
  <c r="D34" i="12"/>
  <c r="E34" i="12" s="1"/>
  <c r="D33" i="12"/>
  <c r="E33" i="12" s="1"/>
  <c r="D32" i="12"/>
  <c r="D31" i="12"/>
  <c r="D30" i="12"/>
  <c r="E30" i="12" s="1"/>
  <c r="D29" i="12"/>
  <c r="E29" i="12" s="1"/>
  <c r="D28" i="12"/>
  <c r="E28" i="12" s="1"/>
  <c r="D27" i="12"/>
  <c r="E27" i="12" s="1"/>
  <c r="D26" i="12"/>
  <c r="E26" i="12" s="1"/>
  <c r="D25" i="12"/>
  <c r="E25" i="12" s="1"/>
  <c r="E31" i="12"/>
  <c r="E32" i="12"/>
  <c r="E35" i="12"/>
  <c r="D24" i="12"/>
  <c r="E24" i="12" s="1"/>
  <c r="R59" i="7"/>
  <c r="F59" i="7" s="1"/>
  <c r="G59" i="7" s="1"/>
  <c r="H59" i="7" s="1"/>
  <c r="F44" i="7"/>
  <c r="G44" i="7" s="1"/>
  <c r="I48" i="7"/>
  <c r="H48" i="7" s="1"/>
  <c r="G48" i="7" s="1"/>
  <c r="F49" i="7"/>
  <c r="G5" i="7"/>
  <c r="H5" i="7"/>
  <c r="I5" i="7"/>
  <c r="F5" i="7"/>
  <c r="H28" i="20"/>
  <c r="H27" i="20"/>
  <c r="I28" i="20"/>
  <c r="G28" i="20" s="1"/>
  <c r="J28" i="20"/>
  <c r="H68" i="20"/>
  <c r="C36" i="4"/>
  <c r="F25" i="7" s="1"/>
  <c r="B31" i="21"/>
  <c r="B82" i="21"/>
  <c r="B83" i="21"/>
  <c r="C52" i="4"/>
  <c r="E23" i="3" s="1"/>
  <c r="D52" i="4"/>
  <c r="D51" i="4"/>
  <c r="C51" i="4"/>
  <c r="E22" i="3" s="1"/>
  <c r="H78" i="20"/>
  <c r="H77" i="20"/>
  <c r="I77" i="20"/>
  <c r="G77" i="20" s="1"/>
  <c r="F77" i="20" s="1"/>
  <c r="E82" i="21" s="1"/>
  <c r="D22" i="3" s="1"/>
  <c r="I78" i="20"/>
  <c r="G78" i="20" s="1"/>
  <c r="H76" i="20"/>
  <c r="J76" i="20"/>
  <c r="F9" i="7"/>
  <c r="G9" i="7"/>
  <c r="H9" i="7"/>
  <c r="I9" i="7"/>
  <c r="F10" i="7"/>
  <c r="G10" i="7"/>
  <c r="H10" i="7"/>
  <c r="I10" i="7"/>
  <c r="F11" i="7"/>
  <c r="G11" i="7"/>
  <c r="H11" i="7"/>
  <c r="I11" i="7"/>
  <c r="F12" i="7"/>
  <c r="G12" i="7"/>
  <c r="H12" i="7"/>
  <c r="I12" i="7"/>
  <c r="F6" i="7"/>
  <c r="G6" i="7"/>
  <c r="H6" i="7"/>
  <c r="I6" i="7"/>
  <c r="F7" i="7"/>
  <c r="G7" i="7"/>
  <c r="H7" i="7"/>
  <c r="I7" i="7"/>
  <c r="F8" i="7"/>
  <c r="G8" i="7"/>
  <c r="H8" i="7"/>
  <c r="I8" i="7"/>
  <c r="F20" i="7"/>
  <c r="G20" i="7"/>
  <c r="H20" i="7"/>
  <c r="I20" i="7"/>
  <c r="F19" i="7"/>
  <c r="G19" i="7"/>
  <c r="H19" i="7"/>
  <c r="I19" i="7"/>
  <c r="F18" i="7"/>
  <c r="G18" i="7"/>
  <c r="H18" i="7"/>
  <c r="I18" i="7"/>
  <c r="G17" i="7"/>
  <c r="H17" i="7"/>
  <c r="I17" i="7"/>
  <c r="F17" i="7"/>
  <c r="I7" i="3"/>
  <c r="J8" i="9"/>
  <c r="G20" i="5"/>
  <c r="G19" i="5"/>
  <c r="G15" i="5" s="1"/>
  <c r="B89" i="21"/>
  <c r="B90" i="21"/>
  <c r="B91" i="21"/>
  <c r="B92" i="21"/>
  <c r="B88" i="21"/>
  <c r="H86" i="20"/>
  <c r="H85" i="20"/>
  <c r="H84" i="20"/>
  <c r="H83" i="20"/>
  <c r="H82" i="20"/>
  <c r="I83" i="20"/>
  <c r="E83" i="20" s="1"/>
  <c r="D89" i="21" s="1"/>
  <c r="C7" i="17" s="1"/>
  <c r="I84" i="20"/>
  <c r="E84" i="20" s="1"/>
  <c r="D90" i="21" s="1"/>
  <c r="C8" i="17" s="1"/>
  <c r="I85" i="20"/>
  <c r="I86" i="20"/>
  <c r="I82" i="20"/>
  <c r="G82" i="20" s="1"/>
  <c r="I81" i="20"/>
  <c r="G81" i="20" s="1"/>
  <c r="H81" i="20"/>
  <c r="J81" i="20"/>
  <c r="D58" i="4"/>
  <c r="B86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42" i="21"/>
  <c r="B24" i="21"/>
  <c r="B25" i="21"/>
  <c r="B26" i="21"/>
  <c r="B27" i="21"/>
  <c r="B28" i="21"/>
  <c r="B29" i="21"/>
  <c r="B30" i="21"/>
  <c r="B33" i="21"/>
  <c r="B34" i="21"/>
  <c r="B35" i="21"/>
  <c r="B36" i="21"/>
  <c r="B37" i="21"/>
  <c r="B38" i="21"/>
  <c r="B39" i="21"/>
  <c r="B40" i="21"/>
  <c r="B23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7" i="21"/>
  <c r="I41" i="20"/>
  <c r="G41" i="20" s="1"/>
  <c r="I42" i="20"/>
  <c r="G42" i="20" s="1"/>
  <c r="I43" i="20"/>
  <c r="I44" i="20"/>
  <c r="G44" i="20" s="1"/>
  <c r="I45" i="20"/>
  <c r="G45" i="20" s="1"/>
  <c r="I46" i="20"/>
  <c r="I47" i="20"/>
  <c r="G47" i="20" s="1"/>
  <c r="I48" i="20"/>
  <c r="G48" i="20" s="1"/>
  <c r="I49" i="20"/>
  <c r="I50" i="20"/>
  <c r="G50" i="20" s="1"/>
  <c r="I51" i="20"/>
  <c r="I52" i="20"/>
  <c r="G52" i="20" s="1"/>
  <c r="I53" i="20"/>
  <c r="G53" i="20" s="1"/>
  <c r="I54" i="20"/>
  <c r="G54" i="20" s="1"/>
  <c r="I55" i="20"/>
  <c r="I56" i="20"/>
  <c r="I57" i="20"/>
  <c r="G57" i="20" s="1"/>
  <c r="I58" i="20"/>
  <c r="G58" i="20" s="1"/>
  <c r="I59" i="20"/>
  <c r="I60" i="20"/>
  <c r="G60" i="20" s="1"/>
  <c r="I61" i="20"/>
  <c r="G61" i="20" s="1"/>
  <c r="I62" i="20"/>
  <c r="G62" i="20" s="1"/>
  <c r="I63" i="20"/>
  <c r="G63" i="20" s="1"/>
  <c r="I64" i="20"/>
  <c r="I65" i="20"/>
  <c r="I66" i="20"/>
  <c r="G66" i="20" s="1"/>
  <c r="I67" i="20"/>
  <c r="I68" i="20"/>
  <c r="G68" i="20" s="1"/>
  <c r="I69" i="20"/>
  <c r="G69" i="20" s="1"/>
  <c r="I70" i="20"/>
  <c r="G70" i="20" s="1"/>
  <c r="I71" i="20"/>
  <c r="G71" i="20" s="1"/>
  <c r="I72" i="20"/>
  <c r="G72" i="20" s="1"/>
  <c r="I73" i="20"/>
  <c r="G73" i="20" s="1"/>
  <c r="I74" i="20"/>
  <c r="G74" i="20" s="1"/>
  <c r="I75" i="20"/>
  <c r="I76" i="20"/>
  <c r="G76" i="20" s="1"/>
  <c r="C39" i="4"/>
  <c r="E25" i="10" s="1"/>
  <c r="D39" i="4"/>
  <c r="C40" i="4"/>
  <c r="E26" i="10" s="1"/>
  <c r="D40" i="4"/>
  <c r="C41" i="4"/>
  <c r="E10" i="10" s="1"/>
  <c r="D41" i="4"/>
  <c r="H54" i="20"/>
  <c r="H55" i="20"/>
  <c r="H53" i="20"/>
  <c r="J53" i="20"/>
  <c r="H51" i="20"/>
  <c r="H52" i="20"/>
  <c r="H50" i="20"/>
  <c r="H48" i="20"/>
  <c r="H49" i="20"/>
  <c r="H47" i="20"/>
  <c r="H56" i="20"/>
  <c r="H57" i="20"/>
  <c r="H58" i="20"/>
  <c r="J58" i="20"/>
  <c r="H59" i="20"/>
  <c r="H60" i="20"/>
  <c r="H61" i="20"/>
  <c r="J61" i="20"/>
  <c r="H62" i="20"/>
  <c r="H63" i="20"/>
  <c r="H64" i="20"/>
  <c r="H65" i="20"/>
  <c r="H66" i="20"/>
  <c r="J66" i="20"/>
  <c r="H67" i="20"/>
  <c r="H69" i="20"/>
  <c r="H70" i="20"/>
  <c r="H71" i="20"/>
  <c r="H72" i="20"/>
  <c r="H73" i="20"/>
  <c r="H74" i="20"/>
  <c r="J74" i="20"/>
  <c r="H75" i="20"/>
  <c r="J75" i="20"/>
  <c r="J73" i="20"/>
  <c r="J72" i="20"/>
  <c r="J71" i="20"/>
  <c r="J70" i="20"/>
  <c r="J69" i="20"/>
  <c r="J68" i="20"/>
  <c r="J67" i="20"/>
  <c r="J65" i="20"/>
  <c r="J64" i="20"/>
  <c r="J63" i="20"/>
  <c r="J62" i="20"/>
  <c r="J60" i="20"/>
  <c r="J59" i="20"/>
  <c r="J57" i="20"/>
  <c r="J56" i="20"/>
  <c r="J55" i="20"/>
  <c r="J54" i="20"/>
  <c r="J52" i="20"/>
  <c r="J51" i="20"/>
  <c r="J50" i="20"/>
  <c r="J49" i="20"/>
  <c r="J48" i="20"/>
  <c r="J47" i="20"/>
  <c r="H46" i="20"/>
  <c r="H45" i="20"/>
  <c r="H44" i="20"/>
  <c r="H43" i="20"/>
  <c r="H42" i="20"/>
  <c r="H41" i="20"/>
  <c r="E41" i="20" s="1"/>
  <c r="D46" i="21" s="1"/>
  <c r="C16" i="3" s="1"/>
  <c r="J37" i="20"/>
  <c r="I39" i="20"/>
  <c r="I40" i="20"/>
  <c r="G40" i="20" s="1"/>
  <c r="H40" i="20"/>
  <c r="H39" i="20"/>
  <c r="I38" i="20"/>
  <c r="G38" i="20" s="1"/>
  <c r="H38" i="20"/>
  <c r="J38" i="20"/>
  <c r="J40" i="20"/>
  <c r="J39" i="20"/>
  <c r="H37" i="20"/>
  <c r="I37" i="20"/>
  <c r="J36" i="20"/>
  <c r="J35" i="20"/>
  <c r="J34" i="20"/>
  <c r="J33" i="20"/>
  <c r="J32" i="20"/>
  <c r="J31" i="20"/>
  <c r="J30" i="20"/>
  <c r="J29" i="20"/>
  <c r="J27" i="20"/>
  <c r="J26" i="20"/>
  <c r="J25" i="20"/>
  <c r="J24" i="20"/>
  <c r="J23" i="20"/>
  <c r="J22" i="20"/>
  <c r="J21" i="20"/>
  <c r="J20" i="20"/>
  <c r="H36" i="20"/>
  <c r="H35" i="20"/>
  <c r="H34" i="20"/>
  <c r="H33" i="20"/>
  <c r="H32" i="20"/>
  <c r="H31" i="20"/>
  <c r="H30" i="20"/>
  <c r="H29" i="20"/>
  <c r="I29" i="20"/>
  <c r="I30" i="20"/>
  <c r="G30" i="20" s="1"/>
  <c r="I31" i="20"/>
  <c r="I32" i="20"/>
  <c r="G32" i="20" s="1"/>
  <c r="I33" i="20"/>
  <c r="G33" i="20" s="1"/>
  <c r="I34" i="20"/>
  <c r="I35" i="20"/>
  <c r="I36" i="20"/>
  <c r="G36" i="20" s="1"/>
  <c r="H26" i="20"/>
  <c r="H25" i="20"/>
  <c r="H24" i="20"/>
  <c r="H23" i="20"/>
  <c r="H22" i="20"/>
  <c r="H21" i="20"/>
  <c r="I21" i="20"/>
  <c r="I22" i="20"/>
  <c r="G22" i="20" s="1"/>
  <c r="I23" i="20"/>
  <c r="G23" i="20" s="1"/>
  <c r="I24" i="20"/>
  <c r="I25" i="20"/>
  <c r="G25" i="20" s="1"/>
  <c r="I26" i="20"/>
  <c r="G26" i="20" s="1"/>
  <c r="I27" i="20"/>
  <c r="G27" i="20" s="1"/>
  <c r="H20" i="20"/>
  <c r="I20" i="20"/>
  <c r="G20" i="20" s="1"/>
  <c r="H19" i="20"/>
  <c r="I19" i="20"/>
  <c r="G19" i="20" s="1"/>
  <c r="H16" i="20"/>
  <c r="I16" i="20"/>
  <c r="G16" i="20" s="1"/>
  <c r="H15" i="20"/>
  <c r="I15" i="20"/>
  <c r="G15" i="20" s="1"/>
  <c r="H13" i="20"/>
  <c r="I13" i="20"/>
  <c r="G13" i="20" s="1"/>
  <c r="H14" i="20"/>
  <c r="I14" i="20"/>
  <c r="H12" i="20"/>
  <c r="I12" i="20"/>
  <c r="G12" i="20" s="1"/>
  <c r="H10" i="20"/>
  <c r="I10" i="20"/>
  <c r="G10" i="20" s="1"/>
  <c r="H11" i="20"/>
  <c r="I11" i="20"/>
  <c r="G11" i="20" s="1"/>
  <c r="J18" i="20"/>
  <c r="J17" i="20"/>
  <c r="H18" i="20"/>
  <c r="I18" i="20"/>
  <c r="G18" i="20" s="1"/>
  <c r="H7" i="20"/>
  <c r="I7" i="20"/>
  <c r="G7" i="20" s="1"/>
  <c r="H8" i="20"/>
  <c r="I8" i="20"/>
  <c r="G8" i="20" s="1"/>
  <c r="I5" i="20"/>
  <c r="G5" i="20" s="1"/>
  <c r="H5" i="20"/>
  <c r="H6" i="20"/>
  <c r="H17" i="20"/>
  <c r="H9" i="20"/>
  <c r="I6" i="20"/>
  <c r="G6" i="20" s="1"/>
  <c r="I17" i="20"/>
  <c r="G17" i="20" s="1"/>
  <c r="I9" i="20"/>
  <c r="C70" i="4"/>
  <c r="D70" i="4"/>
  <c r="C71" i="4"/>
  <c r="D71" i="4"/>
  <c r="C67" i="4"/>
  <c r="D67" i="4"/>
  <c r="C66" i="4"/>
  <c r="D66" i="4"/>
  <c r="C53" i="4"/>
  <c r="D5" i="19" s="1"/>
  <c r="D53" i="4"/>
  <c r="C54" i="4"/>
  <c r="E6" i="17" s="1"/>
  <c r="D54" i="4"/>
  <c r="C55" i="4"/>
  <c r="E9" i="17" s="1"/>
  <c r="D55" i="4"/>
  <c r="C56" i="4"/>
  <c r="E10" i="17" s="1"/>
  <c r="D56" i="4"/>
  <c r="C57" i="4"/>
  <c r="E8" i="17" s="1"/>
  <c r="D57" i="4"/>
  <c r="D72" i="4"/>
  <c r="C72" i="4"/>
  <c r="B9" i="19" s="1"/>
  <c r="D73" i="4"/>
  <c r="C73" i="4"/>
  <c r="B10" i="19" s="1"/>
  <c r="D74" i="4"/>
  <c r="C74" i="4"/>
  <c r="B11" i="19" s="1"/>
  <c r="D68" i="4"/>
  <c r="C68" i="4"/>
  <c r="B8" i="19" s="1"/>
  <c r="D65" i="4"/>
  <c r="C65" i="4"/>
  <c r="B7" i="19" s="1"/>
  <c r="D69" i="4"/>
  <c r="C69" i="4"/>
  <c r="B6" i="19" s="1"/>
  <c r="D63" i="4"/>
  <c r="C63" i="4"/>
  <c r="D62" i="4"/>
  <c r="D60" i="4"/>
  <c r="C62" i="4"/>
  <c r="C60" i="4"/>
  <c r="C61" i="4"/>
  <c r="D61" i="4"/>
  <c r="C6" i="4"/>
  <c r="G9" i="2" s="1"/>
  <c r="D6" i="4"/>
  <c r="C7" i="4"/>
  <c r="D7" i="17" s="1"/>
  <c r="D7" i="4"/>
  <c r="C8" i="4"/>
  <c r="G10" i="2" s="1"/>
  <c r="D8" i="4"/>
  <c r="C9" i="4"/>
  <c r="G11" i="2" s="1"/>
  <c r="D9" i="4"/>
  <c r="C10" i="4"/>
  <c r="E8" i="3" s="1"/>
  <c r="D10" i="4"/>
  <c r="C11" i="4"/>
  <c r="E5" i="12" s="1"/>
  <c r="D11" i="4"/>
  <c r="C12" i="4"/>
  <c r="C24" i="12" s="1"/>
  <c r="D12" i="4"/>
  <c r="C13" i="4"/>
  <c r="G16" i="2" s="1"/>
  <c r="D13" i="4"/>
  <c r="C14" i="4"/>
  <c r="C28" i="12" s="1"/>
  <c r="D14" i="4"/>
  <c r="C15" i="4"/>
  <c r="C30" i="12" s="1"/>
  <c r="D15" i="4"/>
  <c r="C16" i="4"/>
  <c r="C29" i="12" s="1"/>
  <c r="D16" i="4"/>
  <c r="C17" i="4"/>
  <c r="G14" i="2" s="1"/>
  <c r="D17" i="4"/>
  <c r="C18" i="4"/>
  <c r="C31" i="12" s="1"/>
  <c r="D18" i="4"/>
  <c r="C19" i="4"/>
  <c r="C32" i="12" s="1"/>
  <c r="D19" i="4"/>
  <c r="C20" i="4"/>
  <c r="G20" i="2" s="1"/>
  <c r="D20" i="4"/>
  <c r="C21" i="4"/>
  <c r="G7" i="2" s="1"/>
  <c r="D21" i="4"/>
  <c r="C22" i="4"/>
  <c r="G12" i="2" s="1"/>
  <c r="D22" i="4"/>
  <c r="C23" i="4"/>
  <c r="G19" i="2" s="1"/>
  <c r="D23" i="4"/>
  <c r="C24" i="4"/>
  <c r="E16" i="3" s="1"/>
  <c r="D24" i="4"/>
  <c r="C25" i="4"/>
  <c r="E17" i="3" s="1"/>
  <c r="D25" i="4"/>
  <c r="C26" i="4"/>
  <c r="E18" i="3" s="1"/>
  <c r="D26" i="4"/>
  <c r="C27" i="4"/>
  <c r="E19" i="3" s="1"/>
  <c r="D27" i="4"/>
  <c r="C28" i="4"/>
  <c r="E20" i="3" s="1"/>
  <c r="D28" i="4"/>
  <c r="C29" i="4"/>
  <c r="E21" i="3" s="1"/>
  <c r="D29" i="4"/>
  <c r="C30" i="4"/>
  <c r="E44" i="7" s="1"/>
  <c r="D30" i="4"/>
  <c r="C31" i="4"/>
  <c r="D31" i="4"/>
  <c r="C32" i="4"/>
  <c r="E52" i="7" s="1"/>
  <c r="D32" i="4"/>
  <c r="C33" i="4"/>
  <c r="D33" i="4"/>
  <c r="C34" i="4"/>
  <c r="D34" i="4"/>
  <c r="C35" i="4"/>
  <c r="D35" i="4"/>
  <c r="C38" i="4"/>
  <c r="D38" i="4"/>
  <c r="C42" i="4"/>
  <c r="E57" i="7" s="1"/>
  <c r="D42" i="4"/>
  <c r="C43" i="4"/>
  <c r="E37" i="7" s="1"/>
  <c r="D43" i="4"/>
  <c r="C44" i="4"/>
  <c r="E17" i="10" s="1"/>
  <c r="D44" i="4"/>
  <c r="C45" i="4"/>
  <c r="D45" i="4"/>
  <c r="C46" i="4"/>
  <c r="E18" i="10" s="1"/>
  <c r="D46" i="4"/>
  <c r="C47" i="4"/>
  <c r="E29" i="10" s="1"/>
  <c r="D47" i="4"/>
  <c r="C48" i="4"/>
  <c r="E21" i="10" s="1"/>
  <c r="D48" i="4"/>
  <c r="C49" i="4"/>
  <c r="E32" i="10" s="1"/>
  <c r="D49" i="4"/>
  <c r="C50" i="4"/>
  <c r="E24" i="10" s="1"/>
  <c r="D50" i="4"/>
  <c r="G34" i="20"/>
  <c r="K5" i="12"/>
  <c r="L5" i="12"/>
  <c r="J5" i="12"/>
  <c r="I53" i="7"/>
  <c r="H53" i="7" s="1"/>
  <c r="I63" i="7"/>
  <c r="J63" i="7" s="1"/>
  <c r="K13" i="9"/>
  <c r="J48" i="7"/>
  <c r="K48" i="7" s="1"/>
  <c r="L48" i="7" s="1"/>
  <c r="M48" i="7" s="1"/>
  <c r="F38" i="7"/>
  <c r="F37" i="7"/>
  <c r="F36" i="7"/>
  <c r="F35" i="7"/>
  <c r="F34" i="7"/>
  <c r="F33" i="7"/>
  <c r="F32" i="7"/>
  <c r="F31" i="7"/>
  <c r="J28" i="2"/>
  <c r="J34" i="2" s="1"/>
  <c r="J39" i="2" s="1"/>
  <c r="J27" i="2"/>
  <c r="J33" i="2" s="1"/>
  <c r="J38" i="2" s="1"/>
  <c r="G49" i="7"/>
  <c r="G50" i="7" s="1"/>
  <c r="G51" i="7" s="1"/>
  <c r="M17" i="5"/>
  <c r="K20" i="5"/>
  <c r="K19" i="5"/>
  <c r="K15" i="5" s="1"/>
  <c r="H19" i="5"/>
  <c r="H15" i="5" s="1"/>
  <c r="I19" i="5"/>
  <c r="J19" i="5"/>
  <c r="H20" i="5"/>
  <c r="I20" i="5"/>
  <c r="J20" i="5"/>
  <c r="X57" i="9"/>
  <c r="N57" i="9"/>
  <c r="Z57" i="9"/>
  <c r="M57" i="9"/>
  <c r="L57" i="9"/>
  <c r="K57" i="9"/>
  <c r="J57" i="9"/>
  <c r="V57" i="9"/>
  <c r="N56" i="9"/>
  <c r="M56" i="9"/>
  <c r="L56" i="9"/>
  <c r="K56" i="9"/>
  <c r="J56" i="9"/>
  <c r="N55" i="9"/>
  <c r="Z55" i="9"/>
  <c r="M55" i="9"/>
  <c r="L55" i="9"/>
  <c r="X55" i="9"/>
  <c r="K55" i="9"/>
  <c r="J55" i="9"/>
  <c r="V55" i="9"/>
  <c r="N54" i="9"/>
  <c r="M54" i="9"/>
  <c r="L54" i="9"/>
  <c r="K54" i="9"/>
  <c r="J54" i="9"/>
  <c r="N53" i="9"/>
  <c r="Z53" i="9"/>
  <c r="M53" i="9"/>
  <c r="L53" i="9"/>
  <c r="R53" i="9"/>
  <c r="K53" i="9"/>
  <c r="J53" i="9"/>
  <c r="V53" i="9"/>
  <c r="N52" i="9"/>
  <c r="M52" i="9"/>
  <c r="L52" i="9"/>
  <c r="J52" i="9"/>
  <c r="X51" i="9"/>
  <c r="W51" i="9"/>
  <c r="T51" i="9"/>
  <c r="N51" i="9"/>
  <c r="Z51" i="9"/>
  <c r="M51" i="9"/>
  <c r="L51" i="9"/>
  <c r="K51" i="9"/>
  <c r="J51" i="9"/>
  <c r="V51" i="9"/>
  <c r="N50" i="9"/>
  <c r="M50" i="9"/>
  <c r="L50" i="9"/>
  <c r="J50" i="9"/>
  <c r="N46" i="9"/>
  <c r="Z46" i="9"/>
  <c r="M46" i="9"/>
  <c r="L46" i="9"/>
  <c r="K46" i="9"/>
  <c r="J46" i="9"/>
  <c r="V46" i="9"/>
  <c r="N45" i="9"/>
  <c r="M45" i="9"/>
  <c r="L45" i="9"/>
  <c r="K45" i="9"/>
  <c r="J45" i="9"/>
  <c r="T44" i="9"/>
  <c r="N44" i="9"/>
  <c r="Z44" i="9"/>
  <c r="M44" i="9"/>
  <c r="S44" i="9"/>
  <c r="L44" i="9"/>
  <c r="X44" i="9"/>
  <c r="K44" i="9"/>
  <c r="J44" i="9"/>
  <c r="V44" i="9"/>
  <c r="N43" i="9"/>
  <c r="M43" i="9"/>
  <c r="L43" i="9"/>
  <c r="K43" i="9"/>
  <c r="J43" i="9"/>
  <c r="X42" i="9"/>
  <c r="N42" i="9"/>
  <c r="Z42" i="9"/>
  <c r="M42" i="9"/>
  <c r="L42" i="9"/>
  <c r="K42" i="9"/>
  <c r="J42" i="9"/>
  <c r="V42" i="9"/>
  <c r="N41" i="9"/>
  <c r="M41" i="9"/>
  <c r="L41" i="9"/>
  <c r="K41" i="9"/>
  <c r="J41" i="9"/>
  <c r="N40" i="9"/>
  <c r="Z40" i="9"/>
  <c r="M40" i="9"/>
  <c r="L40" i="9"/>
  <c r="X40" i="9"/>
  <c r="K40" i="9"/>
  <c r="J40" i="9"/>
  <c r="V40" i="9"/>
  <c r="N39" i="9"/>
  <c r="M39" i="9"/>
  <c r="L39" i="9"/>
  <c r="K39" i="9"/>
  <c r="J39" i="9"/>
  <c r="X35" i="9"/>
  <c r="N35" i="9"/>
  <c r="Z35" i="9"/>
  <c r="M35" i="9"/>
  <c r="S35" i="9"/>
  <c r="L35" i="9"/>
  <c r="K35" i="9"/>
  <c r="J35" i="9"/>
  <c r="V35" i="9"/>
  <c r="N34" i="9"/>
  <c r="M34" i="9"/>
  <c r="L34" i="9"/>
  <c r="K34" i="9"/>
  <c r="J34" i="9"/>
  <c r="N33" i="9"/>
  <c r="Z33" i="9"/>
  <c r="M33" i="9"/>
  <c r="L33" i="9"/>
  <c r="X33" i="9"/>
  <c r="K33" i="9"/>
  <c r="J33" i="9"/>
  <c r="V33" i="9"/>
  <c r="N32" i="9"/>
  <c r="M32" i="9"/>
  <c r="L32" i="9"/>
  <c r="K32" i="9"/>
  <c r="J32" i="9"/>
  <c r="X31" i="9"/>
  <c r="N31" i="9"/>
  <c r="Z31" i="9"/>
  <c r="M31" i="9"/>
  <c r="S31" i="9"/>
  <c r="L31" i="9"/>
  <c r="K31" i="9"/>
  <c r="J31" i="9"/>
  <c r="V31" i="9"/>
  <c r="N30" i="9"/>
  <c r="M30" i="9"/>
  <c r="L30" i="9"/>
  <c r="K30" i="9"/>
  <c r="J30" i="9"/>
  <c r="N29" i="9"/>
  <c r="Z29" i="9"/>
  <c r="M29" i="9"/>
  <c r="L29" i="9"/>
  <c r="X29" i="9"/>
  <c r="K29" i="9"/>
  <c r="J29" i="9"/>
  <c r="V29" i="9"/>
  <c r="N28" i="9"/>
  <c r="M28" i="9"/>
  <c r="L28" i="9"/>
  <c r="K28" i="9"/>
  <c r="J28" i="9"/>
  <c r="X25" i="9"/>
  <c r="N25" i="9"/>
  <c r="Z25" i="9"/>
  <c r="M25" i="9"/>
  <c r="S25" i="9"/>
  <c r="L25" i="9"/>
  <c r="K25" i="9"/>
  <c r="J25" i="9"/>
  <c r="V25" i="9"/>
  <c r="N24" i="9"/>
  <c r="M24" i="9"/>
  <c r="L24" i="9"/>
  <c r="K24" i="9"/>
  <c r="J24" i="9"/>
  <c r="N23" i="9"/>
  <c r="Z23" i="9"/>
  <c r="M23" i="9"/>
  <c r="L23" i="9"/>
  <c r="X23" i="9"/>
  <c r="K23" i="9"/>
  <c r="J23" i="9"/>
  <c r="V23" i="9"/>
  <c r="N22" i="9"/>
  <c r="M22" i="9"/>
  <c r="L22" i="9"/>
  <c r="K22" i="9"/>
  <c r="J22" i="9"/>
  <c r="X21" i="9"/>
  <c r="N21" i="9"/>
  <c r="Z21" i="9"/>
  <c r="M21" i="9"/>
  <c r="S21" i="9"/>
  <c r="L21" i="9"/>
  <c r="K21" i="9"/>
  <c r="J21" i="9"/>
  <c r="V21" i="9"/>
  <c r="N20" i="9"/>
  <c r="M20" i="9"/>
  <c r="L20" i="9"/>
  <c r="K20" i="9"/>
  <c r="J20" i="9"/>
  <c r="N19" i="9"/>
  <c r="Z19" i="9"/>
  <c r="M19" i="9"/>
  <c r="X19" i="9"/>
  <c r="K19" i="9"/>
  <c r="J19" i="9"/>
  <c r="M18" i="9"/>
  <c r="L18" i="9"/>
  <c r="K18" i="9"/>
  <c r="J18" i="9"/>
  <c r="N14" i="9"/>
  <c r="M14" i="9"/>
  <c r="L14" i="9"/>
  <c r="K14" i="9"/>
  <c r="J14" i="9"/>
  <c r="N13" i="9"/>
  <c r="M13" i="9"/>
  <c r="L13" i="9"/>
  <c r="J13" i="9"/>
  <c r="N12" i="9"/>
  <c r="M12" i="9"/>
  <c r="L12" i="9"/>
  <c r="K12" i="9"/>
  <c r="J12" i="9"/>
  <c r="N11" i="9"/>
  <c r="M11" i="9"/>
  <c r="L11" i="9"/>
  <c r="K11" i="9"/>
  <c r="J11" i="9"/>
  <c r="N10" i="9"/>
  <c r="M10" i="9"/>
  <c r="L10" i="9"/>
  <c r="K10" i="9"/>
  <c r="J10" i="9"/>
  <c r="N9" i="9"/>
  <c r="M9" i="9"/>
  <c r="L9" i="9"/>
  <c r="K9" i="9"/>
  <c r="J9" i="9"/>
  <c r="N8" i="9"/>
  <c r="M8" i="9"/>
  <c r="L8" i="9"/>
  <c r="K8" i="9"/>
  <c r="N7" i="9"/>
  <c r="M7" i="9"/>
  <c r="L7" i="9"/>
  <c r="K7" i="9"/>
  <c r="J7" i="9"/>
  <c r="Q19" i="9"/>
  <c r="T21" i="9"/>
  <c r="Q23" i="9"/>
  <c r="T25" i="9"/>
  <c r="Q29" i="9"/>
  <c r="T31" i="9"/>
  <c r="Q33" i="9"/>
  <c r="S40" i="9"/>
  <c r="R46" i="9"/>
  <c r="S19" i="9"/>
  <c r="S23" i="9"/>
  <c r="S29" i="9"/>
  <c r="S33" i="9"/>
  <c r="X53" i="9"/>
  <c r="T40" i="9"/>
  <c r="R42" i="9"/>
  <c r="R51" i="9"/>
  <c r="S55" i="9"/>
  <c r="P19" i="9"/>
  <c r="P23" i="9"/>
  <c r="P29" i="9"/>
  <c r="P33" i="9"/>
  <c r="X46" i="9"/>
  <c r="S51" i="9"/>
  <c r="T19" i="9"/>
  <c r="R21" i="9"/>
  <c r="T23" i="9"/>
  <c r="R25" i="9"/>
  <c r="T29" i="9"/>
  <c r="R31" i="9"/>
  <c r="T33" i="9"/>
  <c r="R35" i="9"/>
  <c r="K50" i="9"/>
  <c r="T55" i="9"/>
  <c r="R57" i="9"/>
  <c r="R40" i="9"/>
  <c r="R44" i="9"/>
  <c r="R55" i="9"/>
  <c r="R19" i="9"/>
  <c r="R23" i="9"/>
  <c r="R29" i="9"/>
  <c r="R33" i="9"/>
  <c r="Q42" i="9"/>
  <c r="P42" i="9"/>
  <c r="Q46" i="9"/>
  <c r="P46" i="9"/>
  <c r="Q53" i="9"/>
  <c r="P53" i="9"/>
  <c r="Q57" i="9"/>
  <c r="P57" i="9"/>
  <c r="Q21" i="9"/>
  <c r="P21" i="9"/>
  <c r="Q25" i="9"/>
  <c r="P25" i="9"/>
  <c r="Q31" i="9"/>
  <c r="P31" i="9"/>
  <c r="Q35" i="9"/>
  <c r="P35" i="9"/>
  <c r="Q51" i="9"/>
  <c r="P51" i="9"/>
  <c r="T35" i="9"/>
  <c r="Q40" i="9"/>
  <c r="P40" i="9"/>
  <c r="S42" i="9"/>
  <c r="T42" i="9"/>
  <c r="Q44" i="9"/>
  <c r="P44" i="9"/>
  <c r="S46" i="9"/>
  <c r="T46" i="9"/>
  <c r="Y51" i="9"/>
  <c r="S53" i="9"/>
  <c r="T53" i="9"/>
  <c r="Q55" i="9"/>
  <c r="P55" i="9"/>
  <c r="S57" i="9"/>
  <c r="T57" i="9"/>
  <c r="Y19" i="9"/>
  <c r="Y21" i="9"/>
  <c r="Y23" i="9"/>
  <c r="Y25" i="9"/>
  <c r="Y29" i="9"/>
  <c r="Y31" i="9"/>
  <c r="Y33" i="9"/>
  <c r="Y35" i="9"/>
  <c r="Y40" i="9"/>
  <c r="Y42" i="9"/>
  <c r="Y44" i="9"/>
  <c r="Y46" i="9"/>
  <c r="K52" i="9"/>
  <c r="W53" i="9"/>
  <c r="W55" i="9"/>
  <c r="W57" i="9"/>
  <c r="W19" i="9"/>
  <c r="W21" i="9"/>
  <c r="W23" i="9"/>
  <c r="W25" i="9"/>
  <c r="W29" i="9"/>
  <c r="W31" i="9"/>
  <c r="W33" i="9"/>
  <c r="W35" i="9"/>
  <c r="W40" i="9"/>
  <c r="W42" i="9"/>
  <c r="W44" i="9"/>
  <c r="W46" i="9"/>
  <c r="Y53" i="9"/>
  <c r="Y55" i="9"/>
  <c r="Y57" i="9"/>
  <c r="E13" i="10" l="1"/>
  <c r="E23" i="10"/>
  <c r="E33" i="10"/>
  <c r="E27" i="20"/>
  <c r="D30" i="21" s="1"/>
  <c r="C12" i="7" s="1"/>
  <c r="C52" i="7" s="1"/>
  <c r="E9" i="20"/>
  <c r="D11" i="21" s="1"/>
  <c r="D6" i="2" s="1"/>
  <c r="E73" i="20"/>
  <c r="D78" i="21" s="1"/>
  <c r="C32" i="10" s="1"/>
  <c r="E23" i="20"/>
  <c r="D26" i="21" s="1"/>
  <c r="C8" i="7" s="1"/>
  <c r="C47" i="7" s="1"/>
  <c r="G84" i="20"/>
  <c r="F84" i="20" s="1"/>
  <c r="E90" i="21" s="1"/>
  <c r="F10" i="20"/>
  <c r="E12" i="21" s="1"/>
  <c r="E16" i="2" s="1"/>
  <c r="F15" i="20"/>
  <c r="E17" i="21" s="1"/>
  <c r="E18" i="2" s="1"/>
  <c r="F28" i="20"/>
  <c r="E31" i="21" s="1"/>
  <c r="D25" i="7" s="1"/>
  <c r="F76" i="20"/>
  <c r="E81" i="21" s="1"/>
  <c r="D34" i="10" s="1"/>
  <c r="E45" i="7"/>
  <c r="E7" i="3"/>
  <c r="F8" i="20"/>
  <c r="E10" i="21" s="1"/>
  <c r="E11" i="2" s="1"/>
  <c r="F11" i="20"/>
  <c r="E13" i="21" s="1"/>
  <c r="E15" i="2" s="1"/>
  <c r="F40" i="20"/>
  <c r="E45" i="21" s="1"/>
  <c r="D8" i="3" s="1"/>
  <c r="G13" i="2"/>
  <c r="E12" i="20"/>
  <c r="D14" i="21" s="1"/>
  <c r="D13" i="2" s="1"/>
  <c r="E46" i="7"/>
  <c r="E6" i="7"/>
  <c r="E7" i="17"/>
  <c r="G8" i="2"/>
  <c r="F27" i="20"/>
  <c r="E30" i="21" s="1"/>
  <c r="D12" i="7" s="1"/>
  <c r="D52" i="7" s="1"/>
  <c r="E17" i="7"/>
  <c r="E36" i="7"/>
  <c r="E5" i="19"/>
  <c r="E31" i="20"/>
  <c r="D35" i="21" s="1"/>
  <c r="C15" i="7" s="1"/>
  <c r="C56" i="7" s="1"/>
  <c r="E85" i="20"/>
  <c r="D91" i="21" s="1"/>
  <c r="C9" i="17" s="1"/>
  <c r="F78" i="20"/>
  <c r="E83" i="21" s="1"/>
  <c r="D23" i="3" s="1"/>
  <c r="E47" i="20"/>
  <c r="D52" i="21" s="1"/>
  <c r="C5" i="10" s="1"/>
  <c r="E34" i="20"/>
  <c r="D38" i="21" s="1"/>
  <c r="C18" i="7" s="1"/>
  <c r="C36" i="7" s="1"/>
  <c r="E74" i="20"/>
  <c r="D79" i="21" s="1"/>
  <c r="C14" i="10" s="1"/>
  <c r="F48" i="20"/>
  <c r="E53" i="21" s="1"/>
  <c r="D15" i="10" s="1"/>
  <c r="F66" i="20"/>
  <c r="E71" i="21" s="1"/>
  <c r="D19" i="10" s="1"/>
  <c r="F23" i="20"/>
  <c r="E26" i="21" s="1"/>
  <c r="D8" i="7" s="1"/>
  <c r="D47" i="7" s="1"/>
  <c r="F73" i="20"/>
  <c r="E78" i="21" s="1"/>
  <c r="D32" i="10" s="1"/>
  <c r="E25" i="20"/>
  <c r="D28" i="21" s="1"/>
  <c r="C10" i="7" s="1"/>
  <c r="C50" i="7" s="1"/>
  <c r="F82" i="20"/>
  <c r="E88" i="21" s="1"/>
  <c r="F12" i="20"/>
  <c r="E14" i="21" s="1"/>
  <c r="E13" i="2" s="1"/>
  <c r="F16" i="20"/>
  <c r="E18" i="21" s="1"/>
  <c r="E20" i="2" s="1"/>
  <c r="F18" i="20"/>
  <c r="E20" i="21" s="1"/>
  <c r="E12" i="2" s="1"/>
  <c r="E8" i="7"/>
  <c r="E5" i="20"/>
  <c r="D7" i="21" s="1"/>
  <c r="D9" i="2" s="1"/>
  <c r="F33" i="20"/>
  <c r="E37" i="21" s="1"/>
  <c r="D17" i="7" s="1"/>
  <c r="D59" i="7" s="1"/>
  <c r="E44" i="20"/>
  <c r="D49" i="21" s="1"/>
  <c r="C19" i="3" s="1"/>
  <c r="E53" i="20"/>
  <c r="D58" i="21" s="1"/>
  <c r="C10" i="10" s="1"/>
  <c r="E43" i="20"/>
  <c r="D48" i="21" s="1"/>
  <c r="C18" i="3" s="1"/>
  <c r="E14" i="20"/>
  <c r="D16" i="21" s="1"/>
  <c r="D14" i="2" s="1"/>
  <c r="F19" i="20"/>
  <c r="E21" i="21" s="1"/>
  <c r="E19" i="2" s="1"/>
  <c r="F25" i="20"/>
  <c r="E28" i="21" s="1"/>
  <c r="D10" i="7" s="1"/>
  <c r="D50" i="7" s="1"/>
  <c r="F62" i="20"/>
  <c r="E67" i="21" s="1"/>
  <c r="D8" i="10" s="1"/>
  <c r="G9" i="20"/>
  <c r="F9" i="20" s="1"/>
  <c r="E11" i="21" s="1"/>
  <c r="E6" i="2" s="1"/>
  <c r="E26" i="20"/>
  <c r="D29" i="21" s="1"/>
  <c r="C11" i="7" s="1"/>
  <c r="C51" i="7" s="1"/>
  <c r="F30" i="20"/>
  <c r="E34" i="21" s="1"/>
  <c r="D14" i="7" s="1"/>
  <c r="D32" i="7" s="1"/>
  <c r="E59" i="7"/>
  <c r="F22" i="20"/>
  <c r="E25" i="21" s="1"/>
  <c r="D7" i="7" s="1"/>
  <c r="D46" i="7" s="1"/>
  <c r="E48" i="20"/>
  <c r="D53" i="21" s="1"/>
  <c r="C15" i="10" s="1"/>
  <c r="E5" i="7"/>
  <c r="E17" i="20"/>
  <c r="D19" i="21" s="1"/>
  <c r="D7" i="2" s="1"/>
  <c r="E15" i="10"/>
  <c r="E70" i="20"/>
  <c r="D75" i="21" s="1"/>
  <c r="C31" i="10" s="1"/>
  <c r="E58" i="20"/>
  <c r="D63" i="21" s="1"/>
  <c r="C27" i="10" s="1"/>
  <c r="F72" i="20"/>
  <c r="E77" i="21" s="1"/>
  <c r="D22" i="10" s="1"/>
  <c r="D9" i="17"/>
  <c r="E54" i="7"/>
  <c r="L7" i="3"/>
  <c r="J7" i="3"/>
  <c r="K7" i="3" s="1"/>
  <c r="F14" i="12"/>
  <c r="E6" i="10"/>
  <c r="E12" i="7"/>
  <c r="E12" i="10"/>
  <c r="G6" i="2"/>
  <c r="E16" i="10"/>
  <c r="E22" i="20"/>
  <c r="D25" i="21" s="1"/>
  <c r="C7" i="7" s="1"/>
  <c r="C46" i="7" s="1"/>
  <c r="E38" i="7"/>
  <c r="F6" i="20"/>
  <c r="E8" i="21" s="1"/>
  <c r="E8" i="2" s="1"/>
  <c r="E76" i="20"/>
  <c r="D81" i="21" s="1"/>
  <c r="C34" i="10" s="1"/>
  <c r="E39" i="20"/>
  <c r="D44" i="21" s="1"/>
  <c r="C7" i="3" s="1"/>
  <c r="F47" i="20"/>
  <c r="E52" i="21" s="1"/>
  <c r="D5" i="10" s="1"/>
  <c r="F42" i="20"/>
  <c r="E47" i="21" s="1"/>
  <c r="D17" i="3" s="1"/>
  <c r="F81" i="20"/>
  <c r="E86" i="21" s="1"/>
  <c r="D5" i="12" s="1"/>
  <c r="F7" i="20"/>
  <c r="E9" i="21" s="1"/>
  <c r="E10" i="2" s="1"/>
  <c r="F20" i="20"/>
  <c r="E23" i="21" s="1"/>
  <c r="D5" i="7" s="1"/>
  <c r="D44" i="7" s="1"/>
  <c r="E30" i="10"/>
  <c r="E32" i="20"/>
  <c r="D36" i="21" s="1"/>
  <c r="C16" i="7" s="1"/>
  <c r="C57" i="7" s="1"/>
  <c r="E66" i="20"/>
  <c r="D71" i="21" s="1"/>
  <c r="C19" i="10" s="1"/>
  <c r="F60" i="20"/>
  <c r="E65" i="21" s="1"/>
  <c r="D23" i="10" s="1"/>
  <c r="E77" i="20"/>
  <c r="D82" i="21" s="1"/>
  <c r="C22" i="3" s="1"/>
  <c r="E33" i="20"/>
  <c r="D37" i="21" s="1"/>
  <c r="C17" i="7" s="1"/>
  <c r="C59" i="7" s="1"/>
  <c r="E9" i="10"/>
  <c r="E35" i="20"/>
  <c r="D39" i="21" s="1"/>
  <c r="C19" i="7" s="1"/>
  <c r="C61" i="7" s="1"/>
  <c r="E29" i="20"/>
  <c r="D33" i="21" s="1"/>
  <c r="C13" i="7" s="1"/>
  <c r="C54" i="7" s="1"/>
  <c r="F70" i="20"/>
  <c r="E75" i="21" s="1"/>
  <c r="D31" i="10" s="1"/>
  <c r="F38" i="20"/>
  <c r="E43" i="21" s="1"/>
  <c r="D6" i="3" s="1"/>
  <c r="F71" i="20"/>
  <c r="E76" i="21" s="1"/>
  <c r="D12" i="10" s="1"/>
  <c r="E78" i="20"/>
  <c r="D83" i="21" s="1"/>
  <c r="C23" i="3" s="1"/>
  <c r="E20" i="10"/>
  <c r="E50" i="20"/>
  <c r="D55" i="21" s="1"/>
  <c r="C6" i="10" s="1"/>
  <c r="F52" i="20"/>
  <c r="E57" i="21" s="1"/>
  <c r="D26" i="10" s="1"/>
  <c r="C5" i="19"/>
  <c r="E18" i="20"/>
  <c r="D20" i="21" s="1"/>
  <c r="D12" i="2" s="1"/>
  <c r="F34" i="20"/>
  <c r="E38" i="21" s="1"/>
  <c r="D18" i="7" s="1"/>
  <c r="D60" i="7" s="1"/>
  <c r="E62" i="20"/>
  <c r="D67" i="21" s="1"/>
  <c r="C8" i="10" s="1"/>
  <c r="E52" i="20"/>
  <c r="D57" i="21" s="1"/>
  <c r="C26" i="10" s="1"/>
  <c r="E10" i="20"/>
  <c r="D12" i="21" s="1"/>
  <c r="D16" i="2" s="1"/>
  <c r="E36" i="20"/>
  <c r="D40" i="21" s="1"/>
  <c r="C20" i="7" s="1"/>
  <c r="C38" i="7" s="1"/>
  <c r="G15" i="2"/>
  <c r="E18" i="7"/>
  <c r="F10" i="12"/>
  <c r="E45" i="20"/>
  <c r="D50" i="21" s="1"/>
  <c r="C20" i="3" s="1"/>
  <c r="G43" i="20"/>
  <c r="F43" i="20" s="1"/>
  <c r="E48" i="21" s="1"/>
  <c r="D18" i="3" s="1"/>
  <c r="E81" i="20"/>
  <c r="D86" i="21" s="1"/>
  <c r="C5" i="12" s="1"/>
  <c r="E69" i="20"/>
  <c r="D74" i="21" s="1"/>
  <c r="C21" i="10" s="1"/>
  <c r="F17" i="20"/>
  <c r="E19" i="21" s="1"/>
  <c r="E7" i="2" s="1"/>
  <c r="E22" i="10"/>
  <c r="E20" i="20"/>
  <c r="D23" i="21" s="1"/>
  <c r="C5" i="7" s="1"/>
  <c r="C44" i="7" s="1"/>
  <c r="E72" i="20"/>
  <c r="D77" i="21" s="1"/>
  <c r="C22" i="10" s="1"/>
  <c r="G39" i="20"/>
  <c r="F39" i="20" s="1"/>
  <c r="E44" i="21" s="1"/>
  <c r="D7" i="3" s="1"/>
  <c r="F53" i="20"/>
  <c r="E58" i="21" s="1"/>
  <c r="D10" i="10" s="1"/>
  <c r="E42" i="20"/>
  <c r="D47" i="21" s="1"/>
  <c r="C17" i="3" s="1"/>
  <c r="E82" i="20"/>
  <c r="D88" i="21" s="1"/>
  <c r="C6" i="17" s="1"/>
  <c r="E60" i="20"/>
  <c r="D65" i="21" s="1"/>
  <c r="C23" i="10" s="1"/>
  <c r="F58" i="20"/>
  <c r="E63" i="21" s="1"/>
  <c r="D27" i="10" s="1"/>
  <c r="E46" i="20"/>
  <c r="D51" i="21" s="1"/>
  <c r="C21" i="3" s="1"/>
  <c r="F41" i="20"/>
  <c r="E46" i="21" s="1"/>
  <c r="D16" i="3" s="1"/>
  <c r="E49" i="7"/>
  <c r="F5" i="20"/>
  <c r="E7" i="21" s="1"/>
  <c r="E9" i="2" s="1"/>
  <c r="E40" i="20"/>
  <c r="D45" i="21" s="1"/>
  <c r="C8" i="3" s="1"/>
  <c r="F50" i="20"/>
  <c r="E55" i="21" s="1"/>
  <c r="D6" i="10" s="1"/>
  <c r="E75" i="20"/>
  <c r="D80" i="21" s="1"/>
  <c r="C24" i="10" s="1"/>
  <c r="E50" i="7"/>
  <c r="E9" i="7"/>
  <c r="E19" i="7"/>
  <c r="E60" i="7"/>
  <c r="E11" i="10"/>
  <c r="E51" i="7"/>
  <c r="E20" i="7"/>
  <c r="E19" i="10"/>
  <c r="F26" i="20"/>
  <c r="E29" i="21" s="1"/>
  <c r="D11" i="7" s="1"/>
  <c r="D51" i="7" s="1"/>
  <c r="F32" i="20"/>
  <c r="E36" i="21" s="1"/>
  <c r="D16" i="7" s="1"/>
  <c r="D34" i="7" s="1"/>
  <c r="F74" i="20"/>
  <c r="E79" i="21" s="1"/>
  <c r="D14" i="10" s="1"/>
  <c r="F63" i="20"/>
  <c r="E68" i="21" s="1"/>
  <c r="D18" i="10" s="1"/>
  <c r="F44" i="20"/>
  <c r="E49" i="21" s="1"/>
  <c r="D19" i="3" s="1"/>
  <c r="G17" i="2"/>
  <c r="E10" i="7"/>
  <c r="E61" i="7"/>
  <c r="G35" i="20"/>
  <c r="F35" i="20" s="1"/>
  <c r="E39" i="21" s="1"/>
  <c r="D19" i="7" s="1"/>
  <c r="D61" i="7" s="1"/>
  <c r="I86" i="21"/>
  <c r="E38" i="20"/>
  <c r="D43" i="21" s="1"/>
  <c r="C6" i="3" s="1"/>
  <c r="E57" i="20"/>
  <c r="D62" i="21" s="1"/>
  <c r="C17" i="10" s="1"/>
  <c r="E68" i="20"/>
  <c r="D73" i="21" s="1"/>
  <c r="C11" i="10" s="1"/>
  <c r="F69" i="20"/>
  <c r="E74" i="21" s="1"/>
  <c r="D21" i="10" s="1"/>
  <c r="E11" i="7"/>
  <c r="E35" i="7"/>
  <c r="E62" i="7"/>
  <c r="E6" i="20"/>
  <c r="D8" i="21" s="1"/>
  <c r="D8" i="2" s="1"/>
  <c r="E8" i="20"/>
  <c r="D10" i="21" s="1"/>
  <c r="D11" i="2" s="1"/>
  <c r="E15" i="20"/>
  <c r="D17" i="21" s="1"/>
  <c r="D18" i="2" s="1"/>
  <c r="G31" i="20"/>
  <c r="F31" i="20" s="1"/>
  <c r="E35" i="21" s="1"/>
  <c r="D15" i="7" s="1"/>
  <c r="D33" i="7" s="1"/>
  <c r="E16" i="20"/>
  <c r="D18" i="21" s="1"/>
  <c r="D20" i="2" s="1"/>
  <c r="E5" i="10"/>
  <c r="E37" i="20"/>
  <c r="D42" i="21" s="1"/>
  <c r="C5" i="3" s="1"/>
  <c r="E56" i="20"/>
  <c r="D61" i="21" s="1"/>
  <c r="C7" i="10" s="1"/>
  <c r="E28" i="20"/>
  <c r="D31" i="21" s="1"/>
  <c r="C25" i="7" s="1"/>
  <c r="E13" i="20"/>
  <c r="D15" i="21" s="1"/>
  <c r="D17" i="2" s="1"/>
  <c r="E7" i="20"/>
  <c r="D9" i="21" s="1"/>
  <c r="D10" i="2" s="1"/>
  <c r="F11" i="12"/>
  <c r="E19" i="20"/>
  <c r="D21" i="21" s="1"/>
  <c r="D19" i="2" s="1"/>
  <c r="F36" i="20"/>
  <c r="E40" i="21" s="1"/>
  <c r="D20" i="7" s="1"/>
  <c r="D62" i="7" s="1"/>
  <c r="E30" i="20"/>
  <c r="D34" i="21" s="1"/>
  <c r="C14" i="7" s="1"/>
  <c r="C55" i="7" s="1"/>
  <c r="F61" i="20"/>
  <c r="E66" i="21" s="1"/>
  <c r="D33" i="10" s="1"/>
  <c r="F13" i="20"/>
  <c r="E15" i="21" s="1"/>
  <c r="E17" i="2" s="1"/>
  <c r="C60" i="7"/>
  <c r="E34" i="10"/>
  <c r="E31" i="7"/>
  <c r="G18" i="2"/>
  <c r="E14" i="10"/>
  <c r="E27" i="10"/>
  <c r="G59" i="20"/>
  <c r="F59" i="20" s="1"/>
  <c r="E64" i="21" s="1"/>
  <c r="D13" i="10" s="1"/>
  <c r="E59" i="20"/>
  <c r="D64" i="21" s="1"/>
  <c r="C13" i="10" s="1"/>
  <c r="E56" i="7"/>
  <c r="E13" i="7"/>
  <c r="E33" i="7"/>
  <c r="G14" i="20"/>
  <c r="F14" i="20" s="1"/>
  <c r="E16" i="21" s="1"/>
  <c r="E14" i="2" s="1"/>
  <c r="E7" i="10"/>
  <c r="E63" i="20"/>
  <c r="D68" i="21" s="1"/>
  <c r="C18" i="10" s="1"/>
  <c r="E54" i="20"/>
  <c r="D59" i="21" s="1"/>
  <c r="C20" i="10" s="1"/>
  <c r="G75" i="20"/>
  <c r="F75" i="20" s="1"/>
  <c r="E80" i="21" s="1"/>
  <c r="D24" i="10" s="1"/>
  <c r="E71" i="20"/>
  <c r="D76" i="21" s="1"/>
  <c r="C12" i="10" s="1"/>
  <c r="E65" i="20"/>
  <c r="D70" i="21" s="1"/>
  <c r="C9" i="10" s="1"/>
  <c r="G65" i="20"/>
  <c r="F65" i="20" s="1"/>
  <c r="E70" i="21" s="1"/>
  <c r="D9" i="10" s="1"/>
  <c r="G46" i="20"/>
  <c r="F46" i="20" s="1"/>
  <c r="E51" i="21" s="1"/>
  <c r="D21" i="3" s="1"/>
  <c r="E55" i="7"/>
  <c r="E32" i="7"/>
  <c r="E14" i="7"/>
  <c r="E21" i="20"/>
  <c r="D24" i="21" s="1"/>
  <c r="C6" i="7" s="1"/>
  <c r="C45" i="7" s="1"/>
  <c r="G21" i="20"/>
  <c r="F21" i="20" s="1"/>
  <c r="E24" i="21" s="1"/>
  <c r="D6" i="7" s="1"/>
  <c r="D45" i="7" s="1"/>
  <c r="E15" i="7"/>
  <c r="E34" i="7"/>
  <c r="E11" i="20"/>
  <c r="D13" i="21" s="1"/>
  <c r="D15" i="2" s="1"/>
  <c r="E31" i="10"/>
  <c r="E8" i="10"/>
  <c r="E6" i="3"/>
  <c r="E64" i="20"/>
  <c r="D69" i="21" s="1"/>
  <c r="C28" i="10" s="1"/>
  <c r="G51" i="20"/>
  <c r="F51" i="20" s="1"/>
  <c r="E56" i="21" s="1"/>
  <c r="D16" i="10" s="1"/>
  <c r="E51" i="20"/>
  <c r="D56" i="21" s="1"/>
  <c r="C16" i="10" s="1"/>
  <c r="E5" i="3"/>
  <c r="E24" i="20"/>
  <c r="D27" i="21" s="1"/>
  <c r="C9" i="7" s="1"/>
  <c r="C49" i="7" s="1"/>
  <c r="G24" i="20"/>
  <c r="F24" i="20" s="1"/>
  <c r="E27" i="21" s="1"/>
  <c r="D9" i="7" s="1"/>
  <c r="D49" i="7" s="1"/>
  <c r="F57" i="20"/>
  <c r="E62" i="21" s="1"/>
  <c r="D17" i="10" s="1"/>
  <c r="F45" i="20"/>
  <c r="E50" i="21" s="1"/>
  <c r="D20" i="3" s="1"/>
  <c r="E16" i="7"/>
  <c r="E28" i="10"/>
  <c r="F8" i="12"/>
  <c r="C26" i="12"/>
  <c r="D6" i="17"/>
  <c r="D8" i="17"/>
  <c r="E7" i="7"/>
  <c r="E47" i="7"/>
  <c r="E61" i="20"/>
  <c r="D66" i="21" s="1"/>
  <c r="C33" i="10" s="1"/>
  <c r="G37" i="20"/>
  <c r="F37" i="20" s="1"/>
  <c r="E42" i="21" s="1"/>
  <c r="D5" i="3" s="1"/>
  <c r="F68" i="20"/>
  <c r="E73" i="21" s="1"/>
  <c r="D11" i="10" s="1"/>
  <c r="G55" i="20"/>
  <c r="F55" i="20" s="1"/>
  <c r="E60" i="21" s="1"/>
  <c r="D30" i="10" s="1"/>
  <c r="E55" i="20"/>
  <c r="D60" i="21" s="1"/>
  <c r="C30" i="10" s="1"/>
  <c r="E49" i="20"/>
  <c r="D54" i="21" s="1"/>
  <c r="C25" i="10" s="1"/>
  <c r="G49" i="20"/>
  <c r="F49" i="20" s="1"/>
  <c r="E54" i="21" s="1"/>
  <c r="D25" i="10" s="1"/>
  <c r="G86" i="20"/>
  <c r="F86" i="20" s="1"/>
  <c r="E92" i="21" s="1"/>
  <c r="E86" i="20"/>
  <c r="D92" i="21" s="1"/>
  <c r="C10" i="17" s="1"/>
  <c r="F13" i="12"/>
  <c r="F12" i="12"/>
  <c r="F6" i="12"/>
  <c r="G67" i="20"/>
  <c r="F67" i="20" s="1"/>
  <c r="E72" i="21" s="1"/>
  <c r="D29" i="10" s="1"/>
  <c r="E67" i="20"/>
  <c r="D72" i="21" s="1"/>
  <c r="C29" i="10" s="1"/>
  <c r="F54" i="20"/>
  <c r="E59" i="21" s="1"/>
  <c r="D20" i="10" s="1"/>
  <c r="G29" i="20"/>
  <c r="F29" i="20" s="1"/>
  <c r="E33" i="21" s="1"/>
  <c r="D13" i="7" s="1"/>
  <c r="G83" i="20"/>
  <c r="F83" i="20" s="1"/>
  <c r="E89" i="21" s="1"/>
  <c r="G85" i="20"/>
  <c r="F85" i="20" s="1"/>
  <c r="E91" i="21" s="1"/>
  <c r="G64" i="20"/>
  <c r="F64" i="20" s="1"/>
  <c r="E69" i="21" s="1"/>
  <c r="D28" i="10" s="1"/>
  <c r="G56" i="20"/>
  <c r="F56" i="20" s="1"/>
  <c r="E61" i="21" s="1"/>
  <c r="D7" i="10" s="1"/>
  <c r="H49" i="7"/>
  <c r="H63" i="7"/>
  <c r="G63" i="7" s="1"/>
  <c r="J8" i="2"/>
  <c r="J11" i="2" s="1"/>
  <c r="I7" i="2"/>
  <c r="I12" i="2" s="1"/>
  <c r="J6" i="2"/>
  <c r="M7" i="2"/>
  <c r="M12" i="2" s="1"/>
  <c r="I6" i="2"/>
  <c r="I20" i="2" s="1"/>
  <c r="L7" i="2"/>
  <c r="J17" i="5" s="1"/>
  <c r="J18" i="5" s="1"/>
  <c r="J22" i="5" s="1"/>
  <c r="N5" i="5" s="1"/>
  <c r="N6" i="5" s="1"/>
  <c r="D22" i="12"/>
  <c r="G53" i="7"/>
  <c r="H44" i="7"/>
  <c r="G45" i="7"/>
  <c r="G46" i="7" s="1"/>
  <c r="H60" i="7"/>
  <c r="H61" i="7" s="1"/>
  <c r="I59" i="7"/>
  <c r="K63" i="7"/>
  <c r="G60" i="7"/>
  <c r="G61" i="7" s="1"/>
  <c r="J53" i="7"/>
  <c r="K7" i="2"/>
  <c r="M8" i="2"/>
  <c r="L8" i="2"/>
  <c r="J7" i="2"/>
  <c r="K8" i="2"/>
  <c r="C33" i="7" l="1"/>
  <c r="D35" i="7"/>
  <c r="D36" i="7"/>
  <c r="D55" i="7"/>
  <c r="C35" i="7"/>
  <c r="C31" i="7"/>
  <c r="C34" i="7"/>
  <c r="C62" i="7"/>
  <c r="C37" i="7"/>
  <c r="C32" i="7"/>
  <c r="D38" i="7"/>
  <c r="D57" i="7"/>
  <c r="D37" i="7"/>
  <c r="D56" i="7"/>
  <c r="D54" i="7"/>
  <c r="D31" i="7"/>
  <c r="J10" i="2"/>
  <c r="J9" i="2"/>
  <c r="H50" i="7"/>
  <c r="I49" i="7"/>
  <c r="K17" i="5"/>
  <c r="K18" i="5" s="1"/>
  <c r="K22" i="5" s="1"/>
  <c r="O5" i="5" s="1"/>
  <c r="O6" i="5" s="1"/>
  <c r="L12" i="2"/>
  <c r="G17" i="5"/>
  <c r="G18" i="5" s="1"/>
  <c r="G22" i="5" s="1"/>
  <c r="K5" i="5" s="1"/>
  <c r="K6" i="5" s="1"/>
  <c r="I15" i="2"/>
  <c r="I17" i="2"/>
  <c r="I13" i="2"/>
  <c r="J37" i="7"/>
  <c r="M6" i="2"/>
  <c r="M20" i="2" s="1"/>
  <c r="I16" i="2"/>
  <c r="J31" i="7"/>
  <c r="K6" i="7"/>
  <c r="I14" i="2"/>
  <c r="J32" i="7"/>
  <c r="I18" i="2"/>
  <c r="G34" i="7"/>
  <c r="G37" i="7"/>
  <c r="K8" i="7"/>
  <c r="G35" i="7"/>
  <c r="J36" i="7"/>
  <c r="G31" i="7"/>
  <c r="J38" i="7"/>
  <c r="G32" i="7"/>
  <c r="G13" i="12"/>
  <c r="G11" i="12"/>
  <c r="G7" i="12"/>
  <c r="H7" i="12" s="1"/>
  <c r="G10" i="12"/>
  <c r="H10" i="12" s="1"/>
  <c r="G14" i="12"/>
  <c r="G9" i="12"/>
  <c r="G6" i="12"/>
  <c r="H6" i="12" s="1"/>
  <c r="G16" i="12"/>
  <c r="G8" i="12"/>
  <c r="H8" i="12" s="1"/>
  <c r="G15" i="12"/>
  <c r="G17" i="12"/>
  <c r="G12" i="12"/>
  <c r="H12" i="12" s="1"/>
  <c r="K53" i="7"/>
  <c r="H45" i="7"/>
  <c r="H46" i="7" s="1"/>
  <c r="I44" i="7"/>
  <c r="G62" i="7"/>
  <c r="L63" i="7"/>
  <c r="H62" i="7"/>
  <c r="I60" i="7"/>
  <c r="I61" i="7" s="1"/>
  <c r="J59" i="7"/>
  <c r="H17" i="5"/>
  <c r="H18" i="5" s="1"/>
  <c r="H22" i="5" s="1"/>
  <c r="L5" i="5" s="1"/>
  <c r="L6" i="5" s="1"/>
  <c r="J12" i="2"/>
  <c r="I11" i="2"/>
  <c r="I10" i="2"/>
  <c r="I9" i="2"/>
  <c r="L11" i="2"/>
  <c r="L9" i="2"/>
  <c r="L10" i="2"/>
  <c r="M10" i="2"/>
  <c r="M11" i="2"/>
  <c r="M9" i="2"/>
  <c r="G33" i="7"/>
  <c r="J34" i="7"/>
  <c r="J35" i="7"/>
  <c r="G38" i="7"/>
  <c r="K11" i="7"/>
  <c r="H33" i="7"/>
  <c r="H37" i="7"/>
  <c r="K6" i="2"/>
  <c r="H34" i="7"/>
  <c r="H35" i="7"/>
  <c r="H36" i="7"/>
  <c r="H31" i="7"/>
  <c r="H32" i="7"/>
  <c r="H38" i="7"/>
  <c r="K7" i="7"/>
  <c r="K12" i="2"/>
  <c r="I17" i="5"/>
  <c r="I18" i="5" s="1"/>
  <c r="I22" i="5" s="1"/>
  <c r="M5" i="5" s="1"/>
  <c r="M6" i="5" s="1"/>
  <c r="J13" i="2"/>
  <c r="J14" i="2"/>
  <c r="J17" i="2"/>
  <c r="J18" i="2"/>
  <c r="J20" i="2"/>
  <c r="J15" i="2"/>
  <c r="J16" i="2"/>
  <c r="K10" i="7"/>
  <c r="J33" i="7"/>
  <c r="K11" i="2"/>
  <c r="K10" i="2"/>
  <c r="K9" i="2"/>
  <c r="I38" i="7"/>
  <c r="J6" i="7"/>
  <c r="L6" i="2"/>
  <c r="I31" i="7"/>
  <c r="J8" i="7"/>
  <c r="I32" i="7"/>
  <c r="I33" i="7"/>
  <c r="J7" i="7"/>
  <c r="I34" i="7"/>
  <c r="I35" i="7"/>
  <c r="J12" i="7"/>
  <c r="J10" i="7"/>
  <c r="J11" i="7"/>
  <c r="I36" i="7"/>
  <c r="I37" i="7"/>
  <c r="G36" i="7"/>
  <c r="K12" i="7"/>
  <c r="I62" i="7" l="1"/>
  <c r="I50" i="7"/>
  <c r="I51" i="7" s="1"/>
  <c r="J49" i="7"/>
  <c r="H51" i="7"/>
  <c r="M13" i="2"/>
  <c r="M16" i="2"/>
  <c r="M17" i="2"/>
  <c r="M18" i="2"/>
  <c r="M15" i="2"/>
  <c r="M14" i="2"/>
  <c r="J60" i="7"/>
  <c r="J61" i="7" s="1"/>
  <c r="K59" i="7"/>
  <c r="L53" i="7"/>
  <c r="M63" i="7"/>
  <c r="I45" i="7"/>
  <c r="I46" i="7" s="1"/>
  <c r="J44" i="7"/>
  <c r="L15" i="2"/>
  <c r="L13" i="2"/>
  <c r="L17" i="2"/>
  <c r="L18" i="2"/>
  <c r="L14" i="2"/>
  <c r="L16" i="2"/>
  <c r="L20" i="2"/>
  <c r="K20" i="2"/>
  <c r="K13" i="2"/>
  <c r="K14" i="2"/>
  <c r="K18" i="2"/>
  <c r="K16" i="2"/>
  <c r="K15" i="2"/>
  <c r="K17" i="2"/>
  <c r="J62" i="7" l="1"/>
  <c r="J50" i="7"/>
  <c r="J51" i="7" s="1"/>
  <c r="K49" i="7"/>
  <c r="K44" i="7"/>
  <c r="J45" i="7"/>
  <c r="J46" i="7" s="1"/>
  <c r="M53" i="7"/>
  <c r="L59" i="7"/>
  <c r="K60" i="7"/>
  <c r="K61" i="7" s="1"/>
  <c r="K50" i="7" l="1"/>
  <c r="K51" i="7" s="1"/>
  <c r="L49" i="7"/>
  <c r="K62" i="7"/>
  <c r="M59" i="7"/>
  <c r="L60" i="7"/>
  <c r="L61" i="7" s="1"/>
  <c r="K45" i="7"/>
  <c r="K46" i="7" s="1"/>
  <c r="L44" i="7"/>
  <c r="L62" i="7" l="1"/>
  <c r="L50" i="7"/>
  <c r="L51" i="7" s="1"/>
  <c r="M49" i="7"/>
  <c r="M60" i="7"/>
  <c r="M61" i="7" s="1"/>
  <c r="M44" i="7"/>
  <c r="M45" i="7" s="1"/>
  <c r="M46" i="7" s="1"/>
  <c r="L45" i="7"/>
  <c r="L46" i="7" s="1"/>
  <c r="M50" i="7" l="1"/>
  <c r="M51" i="7" s="1"/>
  <c r="M6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E931C2D8-9E0D-4211-86E0-A9A2F25A62E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H5" authorId="0" shapeId="0" xr:uid="{F3DFAE48-9FB9-4FE8-9EC7-772EFC37761E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0" shapeId="0" xr:uid="{435F8D96-5765-48A5-A693-ECB14EF4B345}">
      <text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J5" authorId="0" shapeId="0" xr:uid="{708AFB41-BE8F-408D-A514-93C81274121E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N9" authorId="0" shapeId="0" xr:uid="{00000000-0006-0000-0100-000001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0" authorId="0" shapeId="0" xr:uid="{00000000-0006-0000-0100-000002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1" authorId="0" shapeId="0" xr:uid="{00000000-0006-0000-0100-000003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2" authorId="0" shapeId="0" xr:uid="{00000000-0006-0000-0100-000004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3" authorId="0" shapeId="0" xr:uid="{00000000-0006-0000-0100-000005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4" authorId="0" shapeId="0" xr:uid="{00000000-0006-0000-0100-000006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5" authorId="0" shapeId="0" xr:uid="{00000000-0006-0000-0100-000007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6" authorId="0" shapeId="0" xr:uid="{00000000-0006-0000-0100-000008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7" authorId="0" shapeId="0" xr:uid="{00000000-0006-0000-0100-000009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8" authorId="0" shapeId="0" xr:uid="{00000000-0006-0000-0100-00000A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4" authorId="0" shapeId="0" xr:uid="{B0F85010-F9B2-47CB-9375-04326ED8B0CF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H4" authorId="0" shapeId="0" xr:uid="{52EEC1BB-A777-480F-8EA4-1E3AD2AFBED1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4" authorId="0" shapeId="0" xr:uid="{B8EF7B5F-2F8F-47CA-ADBA-F9EDC376D86D}">
      <text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J4" authorId="0" shapeId="0" xr:uid="{9B6DA35A-DE29-4C4B-A21C-820644749B91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tc={A395ADEB-EAA4-47F1-BF06-F5E93216F45B}</author>
  </authors>
  <commentList>
    <comment ref="G55" authorId="0" shapeId="0" xr:uid="{A395ADEB-EAA4-47F1-BF06-F5E93216F45B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of wood bio resources in CONCAWE report (medium scenario)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</author>
  </authors>
  <commentList>
    <comment ref="B14" authorId="0" shapeId="0" xr:uid="{C7134259-4A61-47C6-ABDC-9C3C02BC04CF}">
      <text>
        <r>
          <rPr>
            <b/>
            <sz val="10"/>
            <color indexed="8"/>
            <rFont val="Tahoma"/>
            <family val="2"/>
          </rPr>
          <t>KanORS:</t>
        </r>
        <r>
          <rPr>
            <sz val="10"/>
            <color indexed="8"/>
            <rFont val="Tahoma"/>
            <family val="2"/>
          </rPr>
          <t xml:space="preserve">
Ideally, the renewable potentials should be controlled at a technology level, but can also be declared here. </t>
        </r>
      </text>
    </comment>
    <comment ref="C14" authorId="0" shapeId="0" xr:uid="{00000000-0006-0000-0300-000002000000}">
      <text>
        <r>
          <rPr>
            <b/>
            <sz val="10"/>
            <color indexed="8"/>
            <rFont val="Tahoma"/>
            <family val="2"/>
          </rPr>
          <t>KanORS:</t>
        </r>
        <r>
          <rPr>
            <sz val="10"/>
            <color indexed="8"/>
            <rFont val="Tahoma"/>
            <family val="2"/>
          </rPr>
          <t xml:space="preserve">
Ideally, the renewable potentials should be controlled at a technology level, but can also be declared here.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tc={DF35ABC3-9BB5-47E6-9E75-DAC846139278}</author>
  </authors>
  <commentList>
    <comment ref="C22" authorId="0" shapeId="0" xr:uid="{DF35ABC3-9BB5-47E6-9E75-DAC846139278}">
      <text>
        <t>[Threaded comment]
Your version of Excel allows you to read this threaded comment; however, any edits to it will get removed if the file is opened in a newer version of Excel. Learn more: https://go.microsoft.com/fwlink/?linkid=870924
Comment:
    to make shares sum up to 1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E6" authorId="0" shapeId="0" xr:uid="{F2A744C6-E49A-4408-BA6E-24EE3413F39E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 (as HFO), to be reviewed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tc={826B8038-8340-4DCF-B1C7-9C31DF36714F}</author>
    <author>tc={A923A034-E220-4D43-8DAE-2D90CA0274C0}</author>
    <author>tc={7CE7B728-8236-4C08-BAA6-2C879B05AD65}</author>
  </authors>
  <commentList>
    <comment ref="D4" authorId="0" shapeId="0" xr:uid="{826B8038-8340-4DCF-B1C7-9C31DF36714F}">
      <text>
        <t>[Threaded comment]
Your version of Excel allows you to read this threaded comment; however, any edits to it will get removed if the file is opened in a newer version of Excel. Learn more: https://go.microsoft.com/fwlink/?linkid=870924
Comment:
    Barrel of Oil Equivalent</t>
      </text>
    </comment>
    <comment ref="C10" authorId="1" shapeId="0" xr:uid="{A923A034-E220-4D43-8DAE-2D90CA0274C0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exchange rate in 2019, ECB</t>
      </text>
    </comment>
    <comment ref="C11" authorId="2" shapeId="0" xr:uid="{7CE7B728-8236-4C08-BAA6-2C879B05AD65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exchange rate in 2018, ECB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<sst xmlns="http://schemas.openxmlformats.org/spreadsheetml/2006/main" count="1534" uniqueCount="702">
  <si>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</si>
  <si>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</si>
  <si>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</si>
  <si>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</si>
  <si>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</si>
  <si>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</si>
  <si>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</si>
  <si>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</si>
  <si>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</si>
  <si>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MIN</t>
  </si>
  <si>
    <t>PJ</t>
  </si>
  <si>
    <t>GASNAT</t>
  </si>
  <si>
    <t>PEAT</t>
  </si>
  <si>
    <t>IMP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</si>
  <si>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</si>
  <si>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</si>
  <si>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</si>
  <si>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</si>
  <si>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</si>
  <si>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</si>
  <si>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</si>
  <si>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</si>
  <si>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</si>
  <si>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</si>
  <si>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COABIT</t>
  </si>
  <si>
    <t>COACOK</t>
  </si>
  <si>
    <t>COAHAR</t>
  </si>
  <si>
    <t>GASLNG</t>
  </si>
  <si>
    <t>OILCRD</t>
  </si>
  <si>
    <t>OILDST</t>
  </si>
  <si>
    <t>OILGSL</t>
  </si>
  <si>
    <t>OILHFO</t>
  </si>
  <si>
    <t>OILKER</t>
  </si>
  <si>
    <t>OILLPG</t>
  </si>
  <si>
    <t>RENHYD</t>
  </si>
  <si>
    <t>RENWIN</t>
  </si>
  <si>
    <t>RENSOL</t>
  </si>
  <si>
    <t>RENOCE</t>
  </si>
  <si>
    <t>Comm-OUT</t>
  </si>
  <si>
    <t>COST</t>
  </si>
  <si>
    <t>COST~2015</t>
  </si>
  <si>
    <t>COST~2020</t>
  </si>
  <si>
    <t>COST~2025</t>
  </si>
  <si>
    <t>COST~2030</t>
  </si>
  <si>
    <t>COST~2040</t>
  </si>
  <si>
    <t>COST~2050</t>
  </si>
  <si>
    <t>*Technology Name</t>
  </si>
  <si>
    <t>Technology Description</t>
  </si>
  <si>
    <t>Output Commodity</t>
  </si>
  <si>
    <t>€/GJ</t>
  </si>
  <si>
    <t>Domestic fossil fuels reserves</t>
  </si>
  <si>
    <t>CUM</t>
  </si>
  <si>
    <t>BNDACT~UP</t>
  </si>
  <si>
    <t>BNDACT~UP~2050</t>
  </si>
  <si>
    <t>Euro/GJ</t>
  </si>
  <si>
    <t>Renewable potentials</t>
  </si>
  <si>
    <t>MSWAS</t>
  </si>
  <si>
    <t>Electricity Interconnector</t>
  </si>
  <si>
    <t>~FI_T</t>
  </si>
  <si>
    <t>\I:Technology Name</t>
  </si>
  <si>
    <t>BIOWPE</t>
  </si>
  <si>
    <t>BIOWCH</t>
  </si>
  <si>
    <t>EXP</t>
  </si>
  <si>
    <t>DAYNITE</t>
  </si>
  <si>
    <t>Comm-IN</t>
  </si>
  <si>
    <t>ELCC</t>
  </si>
  <si>
    <t>*Notes</t>
  </si>
  <si>
    <t>Calibrated against SEAI Energy Balance</t>
  </si>
  <si>
    <t>SEASON</t>
  </si>
  <si>
    <t>BIOETH1G</t>
  </si>
  <si>
    <t>BIODST1G</t>
  </si>
  <si>
    <t>BIOETH2G</t>
  </si>
  <si>
    <t>BIODST2G</t>
  </si>
  <si>
    <t>OILCOK</t>
  </si>
  <si>
    <t>Oil</t>
  </si>
  <si>
    <t>Coal</t>
  </si>
  <si>
    <t>unit</t>
  </si>
  <si>
    <t>*Source/Ratio</t>
  </si>
  <si>
    <t>~FI_T: ACT_BND~UP</t>
  </si>
  <si>
    <t>*Total</t>
  </si>
  <si>
    <t>Max 2030 potential (Amb Supply, High Dem scenario)</t>
  </si>
  <si>
    <t>Imported Bioenergy costs (€/GJ)</t>
  </si>
  <si>
    <t>Imported Bioenergy potentials (PJ)</t>
  </si>
  <si>
    <t>Bioethanol</t>
  </si>
  <si>
    <t>Biodiesel</t>
  </si>
  <si>
    <t>Source:</t>
  </si>
  <si>
    <t>SEAI-AEA, Bioenergy Supply Curves for Ireland 2010 – 2030. October 2012, version 1.0</t>
  </si>
  <si>
    <t>Conversion</t>
  </si>
  <si>
    <r>
      <t xml:space="preserve">Consumer Price Index (CPI) - </t>
    </r>
    <r>
      <rPr>
        <b/>
        <sz val="11"/>
        <color indexed="10"/>
        <rFont val="Calibri"/>
        <family val="2"/>
      </rPr>
      <t>CSO</t>
    </r>
  </si>
  <si>
    <t>1 toe</t>
  </si>
  <si>
    <t>GJ</t>
  </si>
  <si>
    <t>Base=100</t>
  </si>
  <si>
    <t>Appendix 3 Potential Imports of Bioenergy</t>
  </si>
  <si>
    <t>1 ktoe</t>
  </si>
  <si>
    <t>The following tables refer to potential import scenarios for bioenergy to Ireland, as described in Section11.</t>
  </si>
  <si>
    <t>Source: http://www.cso.ie/px/pxeirestat/Statire/SelectVarVal/Define.asp?maintable=CPA04&amp;PLanguage=0</t>
  </si>
  <si>
    <t>Table A. 3: Restricted supply/reference demand</t>
  </si>
  <si>
    <t>€2010</t>
  </si>
  <si>
    <t>Wood chips</t>
  </si>
  <si>
    <t>toe</t>
  </si>
  <si>
    <t>Table A. 4: Medium supply/reference demand</t>
  </si>
  <si>
    <t>€/toe</t>
  </si>
  <si>
    <t>Table A. 5: Ambitious supply/reference demand</t>
  </si>
  <si>
    <t>Wood pellets</t>
  </si>
  <si>
    <t>Table A. 6: Medium supply/high demand</t>
  </si>
  <si>
    <t>Table A. 7: Ambitious supply/high demand</t>
  </si>
  <si>
    <t>Index</t>
  </si>
  <si>
    <t>€2000</t>
  </si>
  <si>
    <t>191,47</t>
  </si>
  <si>
    <t>Imported Bioenergy delivery costs (€/GJ)</t>
  </si>
  <si>
    <t>DELIV~2020</t>
  </si>
  <si>
    <t>DELIV~2030</t>
  </si>
  <si>
    <t>DELIV~2040</t>
  </si>
  <si>
    <t>DELIV~2050</t>
  </si>
  <si>
    <t>Based on Clancy et al., The economic viability of biomass crops versus conventional agricultural systems and its potential impact on farm incomes in Ireland, Energy Policy 2012
Transport, p[rocessing and fuel adder</t>
  </si>
  <si>
    <t>o=output</t>
  </si>
  <si>
    <t>TIMES Cost in output</t>
  </si>
  <si>
    <t>Meuro/Pjo</t>
  </si>
  <si>
    <t>Cost in output</t>
  </si>
  <si>
    <t>[Euro/GJo]</t>
  </si>
  <si>
    <t>Charge for power sent over (or back) [Euro/MWh]</t>
  </si>
  <si>
    <t>"Max Output"</t>
  </si>
  <si>
    <t>Interconnector CAP [MW]</t>
  </si>
  <si>
    <t>Gas Price [Euro/GJ]</t>
  </si>
  <si>
    <t>"Fuel Consumption"</t>
  </si>
  <si>
    <t>EFF</t>
  </si>
  <si>
    <t>Generator CAP [MW]</t>
  </si>
  <si>
    <t>Dummy Gas Generator</t>
  </si>
  <si>
    <t>TIMES</t>
  </si>
  <si>
    <t>PLEXOS</t>
  </si>
  <si>
    <t>Meuro/PJo</t>
  </si>
  <si>
    <t>Domestic Bioenergy</t>
  </si>
  <si>
    <t>BIOWOO</t>
  </si>
  <si>
    <t>\I: Process Set Membership</t>
  </si>
  <si>
    <t>Vintage Tracking</t>
  </si>
  <si>
    <t>BIORVO</t>
  </si>
  <si>
    <t>BIOTLW</t>
  </si>
  <si>
    <t>BIOPIGW</t>
  </si>
  <si>
    <t>BIOCATW</t>
  </si>
  <si>
    <t>BIOMSW1</t>
  </si>
  <si>
    <t>BIOMSW2</t>
  </si>
  <si>
    <t>BIOINDF</t>
  </si>
  <si>
    <t xml:space="preserve">Crop-based feedstocks are modelled within the AGR BY Template. Potentials and costs controlled by scenario files. </t>
  </si>
  <si>
    <t>BIOGAS1G</t>
  </si>
  <si>
    <t>BIOGAS2G</t>
  </si>
  <si>
    <t>Base-year Flexible Refinery</t>
  </si>
  <si>
    <t>Life</t>
  </si>
  <si>
    <t>FIXOM</t>
  </si>
  <si>
    <t>\I: Unit</t>
  </si>
  <si>
    <t>Years</t>
  </si>
  <si>
    <t>Euro/kW</t>
  </si>
  <si>
    <t>PRE</t>
  </si>
  <si>
    <t>PJa</t>
  </si>
  <si>
    <t>Energy crops - Delivery Cost</t>
  </si>
  <si>
    <t>Source: Clancy et al., The economic viability of biomass crops versus conventional agricultural systems and its potential impact on farm incomes in Ireland, Energy Policy 2012</t>
  </si>
  <si>
    <t xml:space="preserve">Transport and Processing </t>
  </si>
  <si>
    <t>Full Adder</t>
  </si>
  <si>
    <t>Miscanthus/Willow</t>
  </si>
  <si>
    <t>€(11)/GJ</t>
  </si>
  <si>
    <t>Based on a Dummy Gas generator in UK and WEO2016 Gas prices</t>
  </si>
  <si>
    <t xml:space="preserve"> Coal</t>
  </si>
  <si>
    <t xml:space="preserve"> Bituminous Coal</t>
  </si>
  <si>
    <t xml:space="preserve"> Anthracite + Manufactured Ovoids</t>
  </si>
  <si>
    <t xml:space="preserve"> Coke</t>
  </si>
  <si>
    <t xml:space="preserve"> Lignite \ Brown Coal Briquettes</t>
  </si>
  <si>
    <t xml:space="preserve"> Peat</t>
  </si>
  <si>
    <t xml:space="preserve"> Milled Peat</t>
  </si>
  <si>
    <t xml:space="preserve"> Sod Peat</t>
  </si>
  <si>
    <t xml:space="preserve"> Briquettes</t>
  </si>
  <si>
    <t xml:space="preserve"> Oil</t>
  </si>
  <si>
    <t xml:space="preserve"> Crude</t>
  </si>
  <si>
    <t xml:space="preserve"> Refinery Gas</t>
  </si>
  <si>
    <t xml:space="preserve"> Gasoline</t>
  </si>
  <si>
    <t xml:space="preserve"> Kerosene</t>
  </si>
  <si>
    <t xml:space="preserve"> Jet Kerosene</t>
  </si>
  <si>
    <t xml:space="preserve"> Fueloil</t>
  </si>
  <si>
    <t xml:space="preserve"> LPG</t>
  </si>
  <si>
    <t xml:space="preserve"> Gasoil / Diesel /DERV</t>
  </si>
  <si>
    <t xml:space="preserve"> Petroleum Coke</t>
  </si>
  <si>
    <t xml:space="preserve"> Naphta</t>
  </si>
  <si>
    <t xml:space="preserve"> Bitumen</t>
  </si>
  <si>
    <t xml:space="preserve"> White Spirit</t>
  </si>
  <si>
    <t xml:space="preserve"> Lubricants</t>
  </si>
  <si>
    <t xml:space="preserve"> Natural Gas</t>
  </si>
  <si>
    <t xml:space="preserve"> Renewables</t>
  </si>
  <si>
    <t xml:space="preserve"> Hydro</t>
  </si>
  <si>
    <t xml:space="preserve"> Wind</t>
  </si>
  <si>
    <t xml:space="preserve"> Landfill Gas</t>
  </si>
  <si>
    <t xml:space="preserve"> Biogas</t>
  </si>
  <si>
    <t xml:space="preserve"> Non-Renewable  Waste</t>
  </si>
  <si>
    <t xml:space="preserve"> Electricity</t>
  </si>
  <si>
    <t xml:space="preserve"> Heat</t>
  </si>
  <si>
    <t xml:space="preserve"> TOTAL</t>
  </si>
  <si>
    <t>Indigenous Production</t>
  </si>
  <si>
    <t>Imports</t>
  </si>
  <si>
    <t>Exports</t>
  </si>
  <si>
    <t>Mar. Bunkers</t>
  </si>
  <si>
    <t>Stock Change</t>
  </si>
  <si>
    <t>Primary Energy Supply (incl non-energy)</t>
  </si>
  <si>
    <t>Primary Energy Requirement (excl. non-energy)</t>
  </si>
  <si>
    <t>Transformation Input</t>
  </si>
  <si>
    <t>Transformation Output</t>
  </si>
  <si>
    <t>Exchanges and transfers</t>
  </si>
  <si>
    <t>Electricity</t>
  </si>
  <si>
    <t>Heat</t>
  </si>
  <si>
    <t>Own Use and Distribution Losses</t>
  </si>
  <si>
    <t>Available Final Energy Consumption</t>
  </si>
  <si>
    <t>ACT_BND~2050</t>
  </si>
  <si>
    <t>ACT_BND~0</t>
  </si>
  <si>
    <t>OILRFG</t>
  </si>
  <si>
    <t>OILNAP</t>
  </si>
  <si>
    <t>*</t>
  </si>
  <si>
    <r>
      <rPr>
        <u/>
        <sz val="10"/>
        <rFont val="Calibri"/>
        <family val="2"/>
        <scheme val="minor"/>
      </rPr>
      <t>Net</t>
    </r>
    <r>
      <rPr>
        <sz val="10"/>
        <rFont val="Calibri"/>
        <family val="2"/>
        <scheme val="minor"/>
      </rPr>
      <t xml:space="preserve"> production shares</t>
    </r>
  </si>
  <si>
    <t>Used BY costs from Irish TIMES 1.0</t>
  </si>
  <si>
    <t>2015 Transport Diesel Consumption</t>
  </si>
  <si>
    <t>Doubling Step I</t>
  </si>
  <si>
    <t>Doubling Step II</t>
  </si>
  <si>
    <t>Bound not set</t>
  </si>
  <si>
    <t>Max past consumption</t>
  </si>
  <si>
    <t>Share~UP~2050</t>
  </si>
  <si>
    <t>Own Assumption</t>
  </si>
  <si>
    <t>Assumption</t>
  </si>
  <si>
    <t>Calibrated against Energy Balance</t>
  </si>
  <si>
    <t>Old PET values (source: WEC)</t>
  </si>
  <si>
    <t>Fuel Techs - Sectoral infrastructure</t>
  </si>
  <si>
    <t>Share-I</t>
  </si>
  <si>
    <t>INVCOST</t>
  </si>
  <si>
    <t>NCAP_BND~UP~0</t>
  </si>
  <si>
    <t>€/GJa</t>
  </si>
  <si>
    <t>Interpolation</t>
  </si>
  <si>
    <t xml:space="preserve">Natural Gas </t>
  </si>
  <si>
    <t xml:space="preserve">Liquified Natural Gas </t>
  </si>
  <si>
    <t xml:space="preserve">Bituminous Coal </t>
  </si>
  <si>
    <t xml:space="preserve">Hard Coal / Antracite </t>
  </si>
  <si>
    <t xml:space="preserve">Coke Coal </t>
  </si>
  <si>
    <t xml:space="preserve">Lignite /  Brown Coal </t>
  </si>
  <si>
    <t xml:space="preserve">Peat </t>
  </si>
  <si>
    <t xml:space="preserve">Crude Oil </t>
  </si>
  <si>
    <t xml:space="preserve">Refinery Gas </t>
  </si>
  <si>
    <t xml:space="preserve">Kerosene </t>
  </si>
  <si>
    <t xml:space="preserve">Heavy Fuel Oil </t>
  </si>
  <si>
    <t xml:space="preserve">Diesel Oil </t>
  </si>
  <si>
    <t xml:space="preserve">Liquified Petroleum Gas </t>
  </si>
  <si>
    <t xml:space="preserve">Gasoline </t>
  </si>
  <si>
    <t xml:space="preserve">Petroleum Coke </t>
  </si>
  <si>
    <t xml:space="preserve">Naphta </t>
  </si>
  <si>
    <t xml:space="preserve">Hydro </t>
  </si>
  <si>
    <t xml:space="preserve">Wind </t>
  </si>
  <si>
    <t xml:space="preserve">Solar </t>
  </si>
  <si>
    <t xml:space="preserve">Municipal Solid Waste </t>
  </si>
  <si>
    <t xml:space="preserve">Ocean </t>
  </si>
  <si>
    <t xml:space="preserve">Ethanol 1st generation </t>
  </si>
  <si>
    <t xml:space="preserve">Ethanol 2nd generation </t>
  </si>
  <si>
    <t xml:space="preserve">Biodiesel 1st generation </t>
  </si>
  <si>
    <t xml:space="preserve">Biogas 1st generation </t>
  </si>
  <si>
    <t xml:space="preserve">Biogas 2nd generation </t>
  </si>
  <si>
    <t xml:space="preserve">Wood Pellets </t>
  </si>
  <si>
    <t xml:space="preserve">Wood Chip </t>
  </si>
  <si>
    <t xml:space="preserve">Biodegradable Municipal Solid Waste potential - Solid </t>
  </si>
  <si>
    <t xml:space="preserve">Biodegradable Municipal Solid Waste </t>
  </si>
  <si>
    <t xml:space="preserve">Tallow </t>
  </si>
  <si>
    <t xml:space="preserve">Recovered Vegetable Oil </t>
  </si>
  <si>
    <t xml:space="preserve">Cattle Waste </t>
  </si>
  <si>
    <t xml:space="preserve">Pig Waste </t>
  </si>
  <si>
    <t xml:space="preserve">Industrial Food Waste </t>
  </si>
  <si>
    <t>Uranium</t>
  </si>
  <si>
    <t>Emission - Dynamic coefficients</t>
  </si>
  <si>
    <t>~COMEMI</t>
  </si>
  <si>
    <t>*Unit</t>
  </si>
  <si>
    <t>kt/PJ</t>
  </si>
  <si>
    <t>ENV</t>
  </si>
  <si>
    <t>kt</t>
  </si>
  <si>
    <t>COALIG</t>
  </si>
  <si>
    <t>OILNEU</t>
  </si>
  <si>
    <t>Oil for Non-Energy uses</t>
  </si>
  <si>
    <t>COST~2012</t>
  </si>
  <si>
    <t>DELIV~2012</t>
  </si>
  <si>
    <t>FLO_COST~2012</t>
  </si>
  <si>
    <t>Sectors</t>
  </si>
  <si>
    <t>Code</t>
  </si>
  <si>
    <t>Description</t>
  </si>
  <si>
    <t>ELC</t>
  </si>
  <si>
    <t>Energy Commodities</t>
  </si>
  <si>
    <t>COA</t>
  </si>
  <si>
    <t>DST</t>
  </si>
  <si>
    <t>Diesel</t>
  </si>
  <si>
    <t>GSL</t>
  </si>
  <si>
    <t>Gasoline</t>
  </si>
  <si>
    <t>HFO</t>
  </si>
  <si>
    <t>Heavy Fuel Oil</t>
  </si>
  <si>
    <t>KER</t>
  </si>
  <si>
    <t>Kerosene</t>
  </si>
  <si>
    <t>LPG</t>
  </si>
  <si>
    <t>Liquified Petroleum Gases</t>
  </si>
  <si>
    <t>OIL</t>
  </si>
  <si>
    <t>NGA</t>
  </si>
  <si>
    <t>Natural Gas</t>
  </si>
  <si>
    <t>BLQ</t>
  </si>
  <si>
    <t>Bioliquid</t>
  </si>
  <si>
    <t>BSL</t>
  </si>
  <si>
    <t>Biomass solid</t>
  </si>
  <si>
    <t>BGA</t>
  </si>
  <si>
    <t>Biogas</t>
  </si>
  <si>
    <t>BWA</t>
  </si>
  <si>
    <t>AVG</t>
  </si>
  <si>
    <t>Aviation Gasoline</t>
  </si>
  <si>
    <t>JTK</t>
  </si>
  <si>
    <t>Jet Kerosene</t>
  </si>
  <si>
    <t>Bio Diesel</t>
  </si>
  <si>
    <t>Bio Gasoline</t>
  </si>
  <si>
    <t>Bio Gas</t>
  </si>
  <si>
    <t>BJK</t>
  </si>
  <si>
    <t>Jet Bio Kerosene</t>
  </si>
  <si>
    <t>SOL</t>
  </si>
  <si>
    <t>Solar</t>
  </si>
  <si>
    <t>SPV</t>
  </si>
  <si>
    <t>Solar Photovoltaic</t>
  </si>
  <si>
    <t>STH</t>
  </si>
  <si>
    <t>Solar Thermal</t>
  </si>
  <si>
    <t>GEO</t>
  </si>
  <si>
    <t>Geothermal</t>
  </si>
  <si>
    <t>WIN</t>
  </si>
  <si>
    <t>Wind</t>
  </si>
  <si>
    <t>WON</t>
  </si>
  <si>
    <t>Wind On-Shore</t>
  </si>
  <si>
    <t>WOF</t>
  </si>
  <si>
    <t>Wind Off-Shore</t>
  </si>
  <si>
    <t>HYD</t>
  </si>
  <si>
    <t>Hydro</t>
  </si>
  <si>
    <t>TDL</t>
  </si>
  <si>
    <t>Tide</t>
  </si>
  <si>
    <t>WAV</t>
  </si>
  <si>
    <t>Wave</t>
  </si>
  <si>
    <t>NUC</t>
  </si>
  <si>
    <t>HET</t>
  </si>
  <si>
    <t>SUP</t>
  </si>
  <si>
    <t>Supply and Upstream</t>
  </si>
  <si>
    <t>Emission Commodities</t>
  </si>
  <si>
    <t>CH4N</t>
  </si>
  <si>
    <t>N2ON</t>
  </si>
  <si>
    <t>CO2N</t>
  </si>
  <si>
    <t>CO2P</t>
  </si>
  <si>
    <t>Technology type</t>
  </si>
  <si>
    <t>Fuel</t>
  </si>
  <si>
    <t>TIMES Set</t>
  </si>
  <si>
    <t>Technology Type</t>
  </si>
  <si>
    <t>\I: Commodity set</t>
  </si>
  <si>
    <t>Commodity name</t>
  </si>
  <si>
    <t>\I: Energy Commodities</t>
  </si>
  <si>
    <t>\I: Emissions commodities</t>
  </si>
  <si>
    <t>Processes definition</t>
  </si>
  <si>
    <t>Technology name</t>
  </si>
  <si>
    <t>Activity unit</t>
  </si>
  <si>
    <t>Capacity unit</t>
  </si>
  <si>
    <t>TimeSlice level of Process Activity</t>
  </si>
  <si>
    <t>Primary Commodity Group</t>
  </si>
  <si>
    <t>\I: Fuel Technologies</t>
  </si>
  <si>
    <t>NUCURM</t>
  </si>
  <si>
    <t>.</t>
  </si>
  <si>
    <t>NOXN</t>
  </si>
  <si>
    <t>PM10</t>
  </si>
  <si>
    <t>PM25</t>
  </si>
  <si>
    <t>Nitrogen Oxide  - eNergy Emissions</t>
  </si>
  <si>
    <r>
      <t>Carbon Dioxide - eN</t>
    </r>
    <r>
      <rPr>
        <sz val="11"/>
        <color theme="1"/>
        <rFont val="Calibri"/>
        <family val="2"/>
        <scheme val="minor"/>
      </rPr>
      <t>ergy Emissions</t>
    </r>
  </si>
  <si>
    <r>
      <t xml:space="preserve">Carbon Dioxide - </t>
    </r>
    <r>
      <rPr>
        <u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rocess Emissions</t>
    </r>
  </si>
  <si>
    <t>Particulate Matter &lt;10 µm</t>
  </si>
  <si>
    <t>Particulate Matter &lt;2.5 µm</t>
  </si>
  <si>
    <t>CH4P</t>
  </si>
  <si>
    <t>WAS</t>
  </si>
  <si>
    <t>Waste</t>
  </si>
  <si>
    <t>Bio Wastes</t>
  </si>
  <si>
    <t>BGL</t>
  </si>
  <si>
    <t>BDL</t>
  </si>
  <si>
    <t>H2</t>
  </si>
  <si>
    <t>Hydrogen</t>
  </si>
  <si>
    <t>CO2S</t>
  </si>
  <si>
    <r>
      <t xml:space="preserve">Carbon Dioxide - </t>
    </r>
    <r>
      <rPr>
        <u/>
        <sz val="11"/>
        <color theme="1"/>
        <rFont val="Calibri"/>
        <family val="2"/>
        <scheme val="minor"/>
      </rPr>
      <t>Sequestered</t>
    </r>
  </si>
  <si>
    <t>Transformations</t>
  </si>
  <si>
    <t>_UK</t>
  </si>
  <si>
    <t>Suffix (Technology Generation or regions)</t>
  </si>
  <si>
    <t>BIO</t>
  </si>
  <si>
    <t>Biomass</t>
  </si>
  <si>
    <t>G</t>
  </si>
  <si>
    <t>L</t>
  </si>
  <si>
    <t>Commodity State</t>
  </si>
  <si>
    <t>gaseous</t>
  </si>
  <si>
    <t>liquid</t>
  </si>
  <si>
    <t>Commodity Type</t>
  </si>
  <si>
    <t>C</t>
  </si>
  <si>
    <t>D</t>
  </si>
  <si>
    <t>centralised</t>
  </si>
  <si>
    <t>decentralised</t>
  </si>
  <si>
    <t>Methane - eNergy Emissions</t>
  </si>
  <si>
    <t>Methane Emissions - Process Emissions</t>
  </si>
  <si>
    <t>N2O Emissions - eNergy Emissions</t>
  </si>
  <si>
    <t>SO2N</t>
  </si>
  <si>
    <t>Sulfur dioxide - eNergy Emissions</t>
  </si>
  <si>
    <t xml:space="preserve">Technologies - Convention for Naming </t>
  </si>
  <si>
    <t>Import</t>
  </si>
  <si>
    <t>Export</t>
  </si>
  <si>
    <t>FT-</t>
  </si>
  <si>
    <t>Suffixes</t>
  </si>
  <si>
    <t>UK</t>
  </si>
  <si>
    <t>_GLOBAL</t>
  </si>
  <si>
    <t>\I: Fossil Import Processes</t>
  </si>
  <si>
    <t>\I:Bio Import Processes</t>
  </si>
  <si>
    <t>\I:Domestic potentials</t>
  </si>
  <si>
    <t>_S1</t>
  </si>
  <si>
    <t>_S2</t>
  </si>
  <si>
    <t>_S3</t>
  </si>
  <si>
    <t>_S4</t>
  </si>
  <si>
    <t>Step 1</t>
  </si>
  <si>
    <t>Step 2</t>
  </si>
  <si>
    <t>Step 3</t>
  </si>
  <si>
    <t>Step 4</t>
  </si>
  <si>
    <t>BIOWOO1</t>
  </si>
  <si>
    <t>BIOWOO2</t>
  </si>
  <si>
    <t>BIOWOO3</t>
  </si>
  <si>
    <t xml:space="preserve">Biomass - generic </t>
  </si>
  <si>
    <t>Sawmill residues</t>
  </si>
  <si>
    <t>Post-Consumer Recycled Wood</t>
  </si>
  <si>
    <t>Straw</t>
  </si>
  <si>
    <t>Fuel Tech</t>
  </si>
  <si>
    <t>REF</t>
  </si>
  <si>
    <t>Refinery</t>
  </si>
  <si>
    <t>Domestic Potential</t>
  </si>
  <si>
    <t>_Whitegate</t>
  </si>
  <si>
    <t>Whitegate</t>
  </si>
  <si>
    <t xml:space="preserve">2018                        Units = ktoe
</t>
  </si>
  <si>
    <t>NACE (Rev 2)</t>
  </si>
  <si>
    <t>Pasti</t>
  </si>
  <si>
    <t>Share~UP~2018</t>
  </si>
  <si>
    <t>EFF~2018</t>
  </si>
  <si>
    <t>ACT_BND~2018</t>
  </si>
  <si>
    <t>Share~UP~0</t>
  </si>
  <si>
    <t>I/E rule</t>
  </si>
  <si>
    <t>CYC</t>
  </si>
  <si>
    <t>WLK</t>
  </si>
  <si>
    <t>Cycling</t>
  </si>
  <si>
    <t>Walking</t>
  </si>
  <si>
    <t>Bio Jet Kerosene</t>
  </si>
  <si>
    <t>BIOJKR</t>
  </si>
  <si>
    <t>Ambient Heat</t>
  </si>
  <si>
    <t xml:space="preserve"> Refinery Feedstocks</t>
  </si>
  <si>
    <t xml:space="preserve"> Biomass</t>
  </si>
  <si>
    <t xml:space="preserve"> Renewable Waste</t>
  </si>
  <si>
    <t xml:space="preserve"> Biodiesel</t>
  </si>
  <si>
    <t xml:space="preserve"> Bioethanol</t>
  </si>
  <si>
    <t xml:space="preserve"> Solar Photovoltaic</t>
  </si>
  <si>
    <t xml:space="preserve"> Solar Thermal</t>
  </si>
  <si>
    <t xml:space="preserve"> Ambient Heat</t>
  </si>
  <si>
    <t>Consumption in 2018</t>
  </si>
  <si>
    <t xml:space="preserve">Biodiesel 2nd generation </t>
  </si>
  <si>
    <t>correction:</t>
  </si>
  <si>
    <t>Development</t>
  </si>
  <si>
    <t>IE</t>
  </si>
  <si>
    <t>National</t>
  </si>
  <si>
    <t>Single-region</t>
  </si>
  <si>
    <t>Multi-region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</si>
  <si>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</si>
  <si>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</si>
  <si>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</si>
  <si>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</si>
  <si>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</si>
  <si>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</si>
  <si>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</si>
  <si>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</si>
  <si>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</si>
  <si>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</si>
  <si>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</si>
  <si>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</si>
  <si>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</si>
  <si>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</si>
  <si>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</si>
  <si>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</si>
  <si>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</si>
  <si>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</si>
  <si>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</si>
  <si>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</si>
  <si>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</si>
  <si>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</si>
  <si>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</si>
  <si>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</si>
  <si>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</si>
  <si>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</si>
  <si>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</si>
  <si>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</si>
  <si>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</si>
  <si>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</si>
  <si>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</si>
  <si>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</si>
  <si>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</si>
  <si>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</si>
  <si>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</si>
  <si>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</si>
  <si>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</si>
  <si>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</si>
  <si>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</si>
  <si>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</si>
  <si>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</si>
  <si>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</si>
  <si>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</si>
  <si>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</si>
  <si>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</si>
  <si>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</si>
  <si>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</si>
  <si>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</si>
  <si>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</si>
  <si>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</si>
  <si>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</si>
  <si>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</si>
  <si>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</si>
  <si>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</si>
  <si>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Region</t>
  </si>
  <si>
    <t>\I:Region Name</t>
  </si>
  <si>
    <t>*Region Name</t>
  </si>
  <si>
    <t>$2019/barrel</t>
  </si>
  <si>
    <t xml:space="preserve">IEA crude oil </t>
  </si>
  <si>
    <t>Steam coal - EU</t>
  </si>
  <si>
    <t>Natural Gas - EU</t>
  </si>
  <si>
    <t>Source: Table 2.2 - Fossil fuel prices by scenario - WEO 2020, IEA</t>
  </si>
  <si>
    <t>$2019/MBtu</t>
  </si>
  <si>
    <t>$2019/tonne</t>
  </si>
  <si>
    <t>€2019/barrel</t>
  </si>
  <si>
    <t>€2019/MBtu</t>
  </si>
  <si>
    <t>€2019/tonne</t>
  </si>
  <si>
    <t>€2019/GJ</t>
  </si>
  <si>
    <t>Stated Policies</t>
  </si>
  <si>
    <t>Sustainable Development</t>
  </si>
  <si>
    <t>Delayed Recovery</t>
  </si>
  <si>
    <t>Real Terms (2019 Prices)</t>
  </si>
  <si>
    <t>Fossil fuels import prices</t>
  </si>
  <si>
    <t>Conversion to from USD to EUR</t>
  </si>
  <si>
    <t>Conversion to EUR/GJ</t>
  </si>
  <si>
    <t>1 MBtu</t>
  </si>
  <si>
    <t>boe</t>
  </si>
  <si>
    <t>1 boe</t>
  </si>
  <si>
    <t>=</t>
  </si>
  <si>
    <t>Conversion factors - Energy</t>
  </si>
  <si>
    <t>Conversion factors - Other</t>
  </si>
  <si>
    <t>1 EUR19</t>
  </si>
  <si>
    <t>USD19</t>
  </si>
  <si>
    <t>1 EUR18</t>
  </si>
  <si>
    <t>USD18</t>
  </si>
  <si>
    <t>Fossil Fuels Import Prices</t>
  </si>
  <si>
    <t>*TechDesc</t>
  </si>
  <si>
    <t>Source: Table B.4 - Fossil fuel prices by scenario - WEO 2019, IEA</t>
  </si>
  <si>
    <t>Real Terms (2018 Prices)</t>
  </si>
  <si>
    <t>$2018/barrel</t>
  </si>
  <si>
    <t>$2018/MBtu</t>
  </si>
  <si>
    <t>$2018/tonne</t>
  </si>
  <si>
    <t>€2018/barrel</t>
  </si>
  <si>
    <t>€2018/MBtu</t>
  </si>
  <si>
    <t>€2018/tonne</t>
  </si>
  <si>
    <t>€2018/GJ</t>
  </si>
  <si>
    <t>Current Policies</t>
  </si>
  <si>
    <t>WEO2019, WEO2020</t>
  </si>
  <si>
    <t>~FI_T: IRE_PRICE</t>
  </si>
  <si>
    <t>import/Export</t>
  </si>
  <si>
    <t>Other_Indexes</t>
  </si>
  <si>
    <t>Coal prices</t>
  </si>
  <si>
    <t>https://www.eia.gov/energyexplained/coal/prices-and-outlook.php</t>
  </si>
  <si>
    <t>Type</t>
  </si>
  <si>
    <t>USD2019/short ton</t>
  </si>
  <si>
    <t>Bituminous</t>
  </si>
  <si>
    <t>lignite</t>
  </si>
  <si>
    <t>anthracite</t>
  </si>
  <si>
    <t>Import/Export</t>
  </si>
  <si>
    <t>Projected indigenous natural gas production</t>
  </si>
  <si>
    <t>ktoe</t>
  </si>
  <si>
    <t>ACT_BND~2020</t>
  </si>
  <si>
    <t>ACT_BND~2025</t>
  </si>
  <si>
    <t>Source: SEAI, ENERGY SECURITY IN IRELAND, 2020.</t>
  </si>
  <si>
    <t>https://www.seai.ie/publications/Energy-Security-in-Ireland-2020-.pdf</t>
  </si>
  <si>
    <t>year</t>
  </si>
  <si>
    <t xml:space="preserve"> Energy Security Report</t>
  </si>
  <si>
    <t>Energy Security Report</t>
  </si>
  <si>
    <t>RENAHT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</si>
  <si>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</si>
  <si>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</si>
  <si>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</si>
  <si>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</si>
  <si>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</si>
  <si>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</si>
  <si>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</si>
  <si>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</si>
  <si>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</si>
  <si>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</si>
  <si>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</si>
  <si>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</si>
  <si>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Olexandr Balyk (UCC, olexandr.balyk@ucc.ie)</t>
  </si>
  <si>
    <t>James Glynn (UCC, james.glynn@ucc.ie)</t>
  </si>
  <si>
    <t>Xiufeng Yue (UCC, xiufeng.yue@ucc.ie)</t>
  </si>
  <si>
    <t>Supply sector (SUP)</t>
  </si>
  <si>
    <t>Base Year Template</t>
  </si>
  <si>
    <t>Specify base year data and define sector structure</t>
  </si>
  <si>
    <t>~FI_T: MEUR2010</t>
  </si>
  <si>
    <t>~FI_T: MEUR2011</t>
  </si>
  <si>
    <t>~FI_T: MEUR2000</t>
  </si>
  <si>
    <t>2018~MEUR2018</t>
  </si>
  <si>
    <t>2019~MEUR2019</t>
  </si>
  <si>
    <t>2025~MEUR2019</t>
  </si>
  <si>
    <t>2030~MEUR2019</t>
  </si>
  <si>
    <t>2035~MEUR2019</t>
  </si>
  <si>
    <t>2040~MEUR2019</t>
  </si>
  <si>
    <t>Public Thermal Power Plants (Input)</t>
  </si>
  <si>
    <t>Combined Heat and Power Plants (Input)</t>
  </si>
  <si>
    <t>Pumped Storage Consumption (Input)</t>
  </si>
  <si>
    <t>Briquetting Plants (Input)</t>
  </si>
  <si>
    <t>Oil Refineries &amp; other energy sector (Input)</t>
  </si>
  <si>
    <t>Public Thermal Power Plants (Output)</t>
  </si>
  <si>
    <t>Combined Heat and Power Plants (Output)</t>
  </si>
  <si>
    <t>Pumped Storage Generation (Output)</t>
  </si>
  <si>
    <t>Briquetting Plants (Output)</t>
  </si>
  <si>
    <t>Oil Refineries &amp; other energy sector (Output)</t>
  </si>
  <si>
    <t>Electricity Exchange &amp; Transfers</t>
  </si>
  <si>
    <t>Heat Exchange &amp; Transfers</t>
  </si>
  <si>
    <t>Other Exchange &amp; Transfers</t>
  </si>
  <si>
    <t>UK East-West Interconnector</t>
  </si>
  <si>
    <t>NCAP_PASTI</t>
  </si>
  <si>
    <t>Year</t>
  </si>
  <si>
    <t>GW</t>
  </si>
  <si>
    <t>_UK-EWIC</t>
  </si>
  <si>
    <t>PRC_CAPACT</t>
  </si>
  <si>
    <t>NCAP_TLIFE</t>
  </si>
  <si>
    <t>~FI_T: MEUR2014</t>
  </si>
  <si>
    <t>NCAP_BND</t>
  </si>
  <si>
    <t>NCAP_BND~0</t>
  </si>
  <si>
    <t>Pja</t>
  </si>
  <si>
    <t>MINCO2-CAL</t>
  </si>
  <si>
    <t>COST~2018</t>
  </si>
  <si>
    <t>AGRCO2N</t>
  </si>
  <si>
    <t>INDCO2N</t>
  </si>
  <si>
    <t>INDCO2P</t>
  </si>
  <si>
    <t>PWRCO2N</t>
  </si>
  <si>
    <t>RSDCO2</t>
  </si>
  <si>
    <t>SRVCO2N</t>
  </si>
  <si>
    <t>TRACO2N</t>
  </si>
  <si>
    <t>Import of Wood Pellets  - Step 1</t>
  </si>
  <si>
    <t>Import of Wood Pellets  - Step 2</t>
  </si>
  <si>
    <t>Import of Wood Pellets  - Step 3</t>
  </si>
  <si>
    <t>Import of Wood Pellets  - Step 4</t>
  </si>
  <si>
    <t>Cost (€/MWh)</t>
  </si>
  <si>
    <t>Cost (€/GJ)</t>
  </si>
  <si>
    <t>Potential quantities of wood pellets available for import to Ireland (PJ)</t>
  </si>
  <si>
    <t>Totoal (PJ)</t>
  </si>
  <si>
    <t>From SEAI Heat Study</t>
  </si>
  <si>
    <t>Reference</t>
  </si>
  <si>
    <t>SEAI, 2022. Sustainable bioenergy for heat, National Heat study, Spatial Assessment of Resources and Evaluation of Costs and GHG Emissions</t>
  </si>
  <si>
    <t>SEAI Heat Study</t>
  </si>
  <si>
    <t>Domestic CO2 calibration</t>
  </si>
  <si>
    <t>~COMAGG_R1C2</t>
  </si>
  <si>
    <t>TOTCO2</t>
  </si>
  <si>
    <t>TOTCO2INT</t>
  </si>
  <si>
    <t>TRACO2INT</t>
  </si>
  <si>
    <t>\I: Emissions commodities aggregator</t>
  </si>
  <si>
    <t>Total CO2 Emmissions</t>
  </si>
  <si>
    <t>LO</t>
  </si>
  <si>
    <t>Total CO2 Emmissions including international</t>
  </si>
  <si>
    <t>Vahid Aryanpur (UCC,vahid.aryanpur@ucc.ie)</t>
  </si>
  <si>
    <t>Bakytzhan Suleimenov (UCC, bsuleimenov@ucc.ie)</t>
  </si>
  <si>
    <t>SUPCO2N</t>
  </si>
  <si>
    <t>BIOMUN</t>
  </si>
  <si>
    <t>ACT_BND~2023</t>
  </si>
  <si>
    <t>PtLKER</t>
  </si>
  <si>
    <t>Import of PtL, Synthetic Kerosene</t>
  </si>
  <si>
    <t>Power to Liquid - Syn. kerosene for aviation</t>
  </si>
  <si>
    <t>IMPPtLKER</t>
  </si>
  <si>
    <t>Import of PtL Synthetic Kerosene for Aviation</t>
  </si>
  <si>
    <t>START</t>
  </si>
  <si>
    <t>ICCT (2022), Current and future cost of e-kerosene in the United States and Europe</t>
  </si>
  <si>
    <t>Source</t>
  </si>
  <si>
    <t>https://theicct.org/wp-content/uploads/2022/02/fuels-us-europe-current-future-cost-ekerosene-us-europe-mar22.pdf</t>
  </si>
  <si>
    <t>U.S. average (USD per MJ)</t>
  </si>
  <si>
    <t>U.S. average (USD per gallon)</t>
  </si>
  <si>
    <t>U.S. min (USD per gallon)</t>
  </si>
  <si>
    <t>U.S. max (USD per gallon)</t>
  </si>
  <si>
    <t>EU average (USD per MJ)</t>
  </si>
  <si>
    <t>EU average (USD per gallon)</t>
  </si>
  <si>
    <t>EU min (USD per gallon)</t>
  </si>
  <si>
    <t>EU max (USD per gallon)</t>
  </si>
  <si>
    <t>USD to EUR</t>
  </si>
  <si>
    <t>MJ/gal</t>
  </si>
  <si>
    <t>e-kerosene price in EU</t>
  </si>
  <si>
    <t>Average PtL (€/GJ)</t>
  </si>
  <si>
    <t>Max PtL (€/GJ)</t>
  </si>
  <si>
    <t>https://www.iea.org/articles/are-conditions-right-for-biojet-to-take-flight-over-the-next-five-years</t>
  </si>
  <si>
    <t>IEA</t>
  </si>
  <si>
    <t>Fuel Type / Year</t>
  </si>
  <si>
    <t>Min (USD/litre)</t>
  </si>
  <si>
    <t>Max (USD/litre)</t>
  </si>
  <si>
    <t>Average (USD/litre)</t>
  </si>
  <si>
    <t>Fossil jet range (2010–2020)</t>
  </si>
  <si>
    <t>Fossil jet range with CO₂ price</t>
  </si>
  <si>
    <t>—</t>
  </si>
  <si>
    <t>HEFA production range (2021)</t>
  </si>
  <si>
    <t>HEFA production range (2030)</t>
  </si>
  <si>
    <t>Average SAF (€/GJ)</t>
  </si>
  <si>
    <t>Max SAF (€/GJ)</t>
  </si>
  <si>
    <t>2050~MEUR2019</t>
  </si>
  <si>
    <t>From IEA Assumptions</t>
  </si>
  <si>
    <t>From ICCT Working Paper, and updated from https://www.sciencedirect.com/science/article/pii/S2352484725008947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</si>
</sst>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0.0"/>
    <numFmt numFmtId="165" formatCode="\Te\x\t"/>
    <numFmt numFmtId="166" formatCode="0.0%"/>
    <numFmt numFmtId="167" formatCode="0.0000"/>
    <numFmt numFmtId="168" formatCode="[$€-2]\ #,##0;[Red]\-[$€-2]\ #,##0"/>
    <numFmt numFmtId="169" formatCode="#,##0.0;[Red]\-#,##0.0"/>
    <numFmt numFmtId="170" formatCode="#,##0.000;[Red]\-#,##0.000"/>
  </numFmts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Myriad Pro"/>
      <family val="2"/>
    </font>
    <font>
      <sz val="8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Arial"/>
      <family val="2"/>
    </font>
    <font>
      <b/>
      <sz val="9"/>
      <color indexed="81"/>
      <name val="Tahoma"/>
      <family val="2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indexed="10"/>
      <name val="Calibri"/>
      <family val="2"/>
    </font>
    <font>
      <b/>
      <sz val="11"/>
      <color rgb="FF76923C"/>
      <name val="Myriad Pro"/>
      <family val="2"/>
    </font>
    <font>
      <sz val="11"/>
      <color theme="1"/>
      <name val="Myriad Pro"/>
      <family val="2"/>
    </font>
    <font>
      <b/>
      <i/>
      <sz val="11"/>
      <color rgb="FF76923C"/>
      <name val="Myriad Pro"/>
      <family val="2"/>
    </font>
    <font>
      <b/>
      <sz val="10"/>
      <color rgb="FFFFFFFF"/>
      <name val="Myriad Pro"/>
      <family val="2"/>
    </font>
    <font>
      <b/>
      <sz val="10"/>
      <color rgb="FFFFFFFF"/>
      <name val="Calibri"/>
      <family val="2"/>
      <scheme val="minor"/>
    </font>
    <font>
      <b/>
      <i/>
      <sz val="11"/>
      <color theme="5"/>
      <name val="Myriad Pro"/>
      <family val="2"/>
    </font>
    <font>
      <sz val="11"/>
      <color theme="5"/>
      <name val="Calibri"/>
      <family val="2"/>
      <scheme val="minor"/>
    </font>
    <font>
      <sz val="11"/>
      <color rgb="FFFFFFFF"/>
      <name val="Myriad Pro"/>
      <family val="2"/>
    </font>
    <font>
      <sz val="10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4"/>
      <color indexed="9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name val="Calibri"/>
      <family val="2"/>
      <scheme val="minor"/>
    </font>
    <font>
      <b/>
      <sz val="11"/>
      <name val="Myriad Pro"/>
      <family val="2"/>
    </font>
    <font>
      <b/>
      <sz val="10"/>
      <name val="Myriad Pro"/>
      <family val="2"/>
    </font>
    <font>
      <u/>
      <sz val="1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1F497D"/>
      <name val="Calibri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MS Sans Serif"/>
      <family val="2"/>
    </font>
    <font>
      <sz val="11"/>
      <color indexed="8"/>
      <name val="Calibri"/>
      <family val="2"/>
    </font>
    <font>
      <sz val="10"/>
      <name val="Arial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rgb="FF00B0F0"/>
      <name val="Calibri"/>
      <family val="2"/>
      <scheme val="minor"/>
    </font>
    <font>
      <sz val="9"/>
      <name val="Times New Roman"/>
      <family val="1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indexed="1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79998168889431442"/>
        <bgColor indexed="64"/>
      </patternFill>
    </fill>
  </fills>
  <borders count="1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 style="medium">
        <color theme="0"/>
      </top>
      <bottom style="thin">
        <color indexed="64"/>
      </bottom>
      <diagonal/>
    </border>
  </borders>
  <cellStyleXfs count="38">
    <xf numFmtId="0" fontId="0" fillId="0" borderId="0"/>
    <xf numFmtId="0" fontId="2" fillId="2" borderId="0" applyNumberFormat="0" applyBorder="0" applyAlignment="0" applyProtection="0"/>
    <xf numFmtId="9" fontId="1" fillId="0" borderId="0" applyFont="0" applyFill="0" applyBorder="0" applyAlignment="0" applyProtection="0"/>
    <xf numFmtId="0" fontId="34" fillId="17" borderId="0" applyNumberFormat="0" applyBorder="0" applyAlignment="0" applyProtection="0"/>
    <xf numFmtId="0" fontId="35" fillId="18" borderId="21" applyNumberFormat="0" applyAlignment="0" applyProtection="0"/>
    <xf numFmtId="0" fontId="55" fillId="0" borderId="0" applyNumberFormat="0" applyFill="0" applyBorder="0" applyAlignment="0" applyProtection="0"/>
    <xf numFmtId="0" fontId="53" fillId="0" borderId="0"/>
    <xf numFmtId="0" fontId="61" fillId="0" borderId="0"/>
    <xf numFmtId="0" fontId="53" fillId="0" borderId="0"/>
    <xf numFmtId="0" fontId="62" fillId="0" borderId="0"/>
    <xf numFmtId="0" fontId="63" fillId="0" borderId="0"/>
    <xf numFmtId="9" fontId="5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9" fontId="68" fillId="0" borderId="3" applyNumberFormat="0" applyFont="0" applyFill="0" applyBorder="0" applyProtection="0">
      <alignment horizontal="left" vertical="center" indent="2"/>
    </xf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69" fillId="0" borderId="0" applyBorder="0"/>
    <xf numFmtId="9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5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53" fillId="0" borderId="0"/>
    <xf numFmtId="0" fontId="70" fillId="0" borderId="0" applyNumberFormat="0" applyFill="0" applyBorder="0" applyAlignment="0" applyProtection="0"/>
    <xf numFmtId="44" fontId="53" fillId="0" borderId="0" applyFont="0" applyFill="0" applyBorder="0" applyAlignment="0" applyProtection="0"/>
    <xf numFmtId="42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4" fontId="53" fillId="0" borderId="0" applyFont="0" applyFill="0" applyBorder="0" applyAlignment="0" applyProtection="0"/>
    <xf numFmtId="43" fontId="53" fillId="0" borderId="0" applyFont="0" applyFill="0" applyBorder="0" applyAlignment="0" applyProtection="0"/>
  </cellStyleXfs>
  <cellXfs count="494">
    <xf numFmtId="0" fontId="0" fillId="0" borderId="0" xfId="0"/>
    <xf numFmtId="165" fontId="2" fillId="2" borderId="0" xfId="1" applyNumberFormat="1" applyAlignment="1">
      <alignment vertical="center"/>
    </xf>
    <xf numFmtId="0" fontId="5" fillId="0" borderId="0" xfId="0" applyFont="1" applyAlignment="1">
      <alignment vertical="center"/>
    </xf>
    <xf numFmtId="0" fontId="8" fillId="5" borderId="0" xfId="0" quotePrefix="1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167" fontId="5" fillId="0" borderId="0" xfId="0" applyNumberFormat="1" applyFont="1" applyAlignment="1">
      <alignment horizontal="right" vertical="center"/>
    </xf>
    <xf numFmtId="165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5" xfId="0" applyBorder="1" applyAlignment="1">
      <alignment vertical="center"/>
    </xf>
    <xf numFmtId="164" fontId="0" fillId="0" borderId="5" xfId="0" applyNumberFormat="1" applyBorder="1" applyAlignment="1">
      <alignment horizontal="center" vertical="center"/>
    </xf>
    <xf numFmtId="0" fontId="15" fillId="9" borderId="6" xfId="0" applyFont="1" applyFill="1" applyBorder="1" applyAlignment="1">
      <alignment vertical="center"/>
    </xf>
    <xf numFmtId="0" fontId="18" fillId="0" borderId="0" xfId="0" applyFont="1"/>
    <xf numFmtId="0" fontId="0" fillId="0" borderId="3" xfId="0" applyBorder="1"/>
    <xf numFmtId="2" fontId="0" fillId="0" borderId="3" xfId="0" applyNumberFormat="1" applyBorder="1"/>
    <xf numFmtId="0" fontId="19" fillId="0" borderId="0" xfId="0" applyFont="1"/>
    <xf numFmtId="0" fontId="4" fillId="0" borderId="0" xfId="0" applyFont="1"/>
    <xf numFmtId="164" fontId="4" fillId="0" borderId="0" xfId="0" applyNumberFormat="1" applyFont="1"/>
    <xf numFmtId="2" fontId="0" fillId="0" borderId="0" xfId="0" applyNumberFormat="1" applyAlignment="1">
      <alignment horizontal="center"/>
    </xf>
    <xf numFmtId="0" fontId="21" fillId="0" borderId="0" xfId="0" applyFont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0" fontId="15" fillId="0" borderId="5" xfId="0" applyFont="1" applyBorder="1" applyAlignment="1">
      <alignment vertical="center"/>
    </xf>
    <xf numFmtId="0" fontId="17" fillId="0" borderId="0" xfId="0" applyFont="1"/>
    <xf numFmtId="164" fontId="0" fillId="0" borderId="0" xfId="0" applyNumberForma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165" fontId="15" fillId="0" borderId="16" xfId="0" applyNumberFormat="1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165" fontId="15" fillId="0" borderId="5" xfId="0" applyNumberFormat="1" applyFont="1" applyBorder="1" applyAlignment="1">
      <alignment vertical="center"/>
    </xf>
    <xf numFmtId="165" fontId="23" fillId="0" borderId="6" xfId="0" applyNumberFormat="1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165" fontId="23" fillId="0" borderId="2" xfId="0" applyNumberFormat="1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164" fontId="15" fillId="0" borderId="0" xfId="0" applyNumberFormat="1" applyFont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164" fontId="15" fillId="0" borderId="16" xfId="0" applyNumberFormat="1" applyFont="1" applyBorder="1" applyAlignment="1">
      <alignment horizontal="center" vertical="center"/>
    </xf>
    <xf numFmtId="164" fontId="23" fillId="0" borderId="6" xfId="0" applyNumberFormat="1" applyFont="1" applyBorder="1" applyAlignment="1">
      <alignment horizontal="center" vertical="center"/>
    </xf>
    <xf numFmtId="164" fontId="23" fillId="0" borderId="2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164" fontId="15" fillId="0" borderId="16" xfId="0" applyNumberFormat="1" applyFont="1" applyBorder="1" applyAlignment="1">
      <alignment horizontal="left" vertical="center"/>
    </xf>
    <xf numFmtId="164" fontId="15" fillId="0" borderId="0" xfId="0" applyNumberFormat="1" applyFont="1" applyAlignment="1">
      <alignment horizontal="left" vertical="center"/>
    </xf>
    <xf numFmtId="164" fontId="15" fillId="0" borderId="5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2" xfId="0" applyNumberFormat="1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 indent="5"/>
    </xf>
    <xf numFmtId="167" fontId="0" fillId="0" borderId="3" xfId="0" applyNumberFormat="1" applyBorder="1"/>
    <xf numFmtId="17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67" fontId="0" fillId="0" borderId="0" xfId="0" applyNumberFormat="1"/>
    <xf numFmtId="0" fontId="27" fillId="0" borderId="0" xfId="0" applyFont="1" applyAlignment="1">
      <alignment horizontal="left" vertical="center"/>
    </xf>
    <xf numFmtId="168" fontId="0" fillId="0" borderId="0" xfId="0" quotePrefix="1" applyNumberFormat="1"/>
    <xf numFmtId="0" fontId="28" fillId="14" borderId="17" xfId="0" applyFont="1" applyFill="1" applyBorder="1" applyAlignment="1">
      <alignment vertical="center"/>
    </xf>
    <xf numFmtId="0" fontId="28" fillId="14" borderId="18" xfId="0" applyFont="1" applyFill="1" applyBorder="1" applyAlignment="1">
      <alignment horizontal="right" vertical="center"/>
    </xf>
    <xf numFmtId="0" fontId="29" fillId="5" borderId="0" xfId="0" applyFont="1" applyFill="1" applyAlignment="1">
      <alignment horizontal="center" vertical="center"/>
    </xf>
    <xf numFmtId="0" fontId="26" fillId="15" borderId="19" xfId="0" applyFont="1" applyFill="1" applyBorder="1" applyAlignment="1">
      <alignment horizontal="justify" vertical="center"/>
    </xf>
    <xf numFmtId="0" fontId="26" fillId="16" borderId="20" xfId="0" applyFont="1" applyFill="1" applyBorder="1" applyAlignment="1">
      <alignment horizontal="right" vertical="center"/>
    </xf>
    <xf numFmtId="3" fontId="26" fillId="16" borderId="20" xfId="0" applyNumberFormat="1" applyFont="1" applyFill="1" applyBorder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1" fillId="0" borderId="0" xfId="0" applyFont="1"/>
    <xf numFmtId="0" fontId="26" fillId="0" borderId="0" xfId="0" applyFont="1" applyAlignment="1">
      <alignment horizontal="justify" vertical="center"/>
    </xf>
    <xf numFmtId="0" fontId="29" fillId="13" borderId="0" xfId="0" applyFont="1" applyFill="1" applyAlignment="1">
      <alignment horizontal="center" vertical="center"/>
    </xf>
    <xf numFmtId="164" fontId="0" fillId="0" borderId="0" xfId="0" applyNumberFormat="1"/>
    <xf numFmtId="9" fontId="0" fillId="0" borderId="0" xfId="2" applyFon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32" fillId="14" borderId="17" xfId="0" applyFont="1" applyFill="1" applyBorder="1" applyAlignment="1">
      <alignment horizontal="justify" vertical="center"/>
    </xf>
    <xf numFmtId="164" fontId="22" fillId="0" borderId="0" xfId="0" applyNumberFormat="1" applyFont="1" applyAlignment="1">
      <alignment horizontal="center" vertical="center"/>
    </xf>
    <xf numFmtId="0" fontId="33" fillId="0" borderId="5" xfId="0" applyFont="1" applyBorder="1" applyAlignment="1">
      <alignment vertical="center"/>
    </xf>
    <xf numFmtId="0" fontId="7" fillId="6" borderId="2" xfId="0" applyFont="1" applyFill="1" applyBorder="1" applyAlignment="1">
      <alignment horizontal="left" vertical="center" wrapText="1"/>
    </xf>
    <xf numFmtId="164" fontId="0" fillId="0" borderId="16" xfId="0" applyNumberFormat="1" applyBorder="1" applyAlignment="1">
      <alignment horizontal="center" vertical="center"/>
    </xf>
    <xf numFmtId="165" fontId="15" fillId="0" borderId="1" xfId="0" applyNumberFormat="1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34" fillId="17" borderId="0" xfId="3"/>
    <xf numFmtId="164" fontId="34" fillId="17" borderId="0" xfId="3" applyNumberFormat="1"/>
    <xf numFmtId="164" fontId="35" fillId="18" borderId="21" xfId="4" applyNumberFormat="1"/>
    <xf numFmtId="0" fontId="22" fillId="0" borderId="0" xfId="0" applyFont="1"/>
    <xf numFmtId="1" fontId="0" fillId="0" borderId="0" xfId="0" applyNumberFormat="1"/>
    <xf numFmtId="0" fontId="3" fillId="0" borderId="0" xfId="0" applyFont="1"/>
    <xf numFmtId="0" fontId="15" fillId="0" borderId="0" xfId="0" applyFont="1" applyAlignment="1">
      <alignment horizontal="center" vertical="center"/>
    </xf>
    <xf numFmtId="0" fontId="5" fillId="0" borderId="0" xfId="0" applyFont="1"/>
    <xf numFmtId="0" fontId="38" fillId="0" borderId="0" xfId="0" quotePrefix="1" applyFont="1" applyAlignment="1">
      <alignment horizontal="left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/>
    </xf>
    <xf numFmtId="0" fontId="7" fillId="0" borderId="0" xfId="0" quotePrefix="1" applyFont="1" applyAlignment="1">
      <alignment horizontal="left"/>
    </xf>
    <xf numFmtId="0" fontId="5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38" fillId="19" borderId="0" xfId="0" applyFont="1" applyFill="1" applyAlignment="1">
      <alignment vertical="center"/>
    </xf>
    <xf numFmtId="0" fontId="5" fillId="19" borderId="0" xfId="0" applyFont="1" applyFill="1" applyAlignment="1">
      <alignment vertical="center" wrapText="1"/>
    </xf>
    <xf numFmtId="0" fontId="5" fillId="19" borderId="0" xfId="0" applyFont="1" applyFill="1" applyAlignment="1">
      <alignment horizontal="left" vertical="center"/>
    </xf>
    <xf numFmtId="0" fontId="6" fillId="0" borderId="0" xfId="0" applyFont="1" applyAlignment="1">
      <alignment vertical="center" wrapText="1"/>
    </xf>
    <xf numFmtId="165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11" fontId="0" fillId="0" borderId="0" xfId="0" applyNumberFormat="1" applyAlignment="1">
      <alignment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15" fillId="0" borderId="0" xfId="2" applyFont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42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38" fontId="10" fillId="0" borderId="0" xfId="0" applyNumberFormat="1" applyFont="1"/>
    <xf numFmtId="38" fontId="44" fillId="0" borderId="0" xfId="0" applyNumberFormat="1" applyFont="1"/>
    <xf numFmtId="38" fontId="10" fillId="0" borderId="0" xfId="0" applyNumberFormat="1" applyFont="1" applyAlignment="1">
      <alignment horizontal="left"/>
    </xf>
    <xf numFmtId="38" fontId="44" fillId="0" borderId="0" xfId="0" applyNumberFormat="1" applyFont="1" applyAlignment="1">
      <alignment horizontal="center"/>
    </xf>
    <xf numFmtId="3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166" fontId="15" fillId="0" borderId="0" xfId="2" applyNumberFormat="1" applyFont="1" applyAlignment="1">
      <alignment horizontal="center" vertical="center"/>
    </xf>
    <xf numFmtId="38" fontId="15" fillId="0" borderId="0" xfId="0" applyNumberFormat="1" applyFont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0" fontId="46" fillId="0" borderId="0" xfId="0" applyFont="1" applyAlignment="1">
      <alignment vertical="center"/>
    </xf>
    <xf numFmtId="166" fontId="15" fillId="8" borderId="0" xfId="2" applyNumberFormat="1" applyFont="1" applyFill="1" applyAlignment="1">
      <alignment horizontal="center" vertical="center"/>
    </xf>
    <xf numFmtId="38" fontId="15" fillId="8" borderId="0" xfId="0" applyNumberFormat="1" applyFont="1" applyFill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15" fillId="7" borderId="16" xfId="0" applyNumberFormat="1" applyFont="1" applyFill="1" applyBorder="1" applyAlignment="1">
      <alignment horizontal="center" vertical="center"/>
    </xf>
    <xf numFmtId="9" fontId="0" fillId="8" borderId="0" xfId="0" applyNumberFormat="1" applyFill="1" applyAlignment="1">
      <alignment horizontal="center" vertical="center"/>
    </xf>
    <xf numFmtId="164" fontId="15" fillId="7" borderId="0" xfId="0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15" fillId="7" borderId="5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8" fillId="5" borderId="0" xfId="0" applyFont="1" applyFill="1"/>
    <xf numFmtId="0" fontId="47" fillId="5" borderId="0" xfId="0" applyFont="1" applyFill="1"/>
    <xf numFmtId="0" fontId="0" fillId="5" borderId="0" xfId="0" applyFill="1" applyAlignment="1">
      <alignment vertical="center"/>
    </xf>
    <xf numFmtId="0" fontId="3" fillId="4" borderId="121" xfId="0" applyFont="1" applyFill="1" applyBorder="1" applyAlignment="1">
      <alignment vertical="center"/>
    </xf>
    <xf numFmtId="0" fontId="3" fillId="4" borderId="121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 wrapText="1"/>
    </xf>
    <xf numFmtId="165" fontId="0" fillId="0" borderId="0" xfId="0" applyNumberFormat="1"/>
    <xf numFmtId="166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9" fillId="0" borderId="0" xfId="0" applyFont="1"/>
    <xf numFmtId="0" fontId="47" fillId="20" borderId="122" xfId="0" applyFont="1" applyFill="1" applyBorder="1" applyAlignment="1">
      <alignment horizontal="left" vertical="center"/>
    </xf>
    <xf numFmtId="0" fontId="0" fillId="21" borderId="0" xfId="0" applyFill="1"/>
    <xf numFmtId="0" fontId="0" fillId="21" borderId="0" xfId="0" quotePrefix="1" applyFill="1"/>
    <xf numFmtId="0" fontId="39" fillId="21" borderId="0" xfId="0" applyFont="1" applyFill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15" fillId="12" borderId="123" xfId="0" applyFont="1" applyFill="1" applyBorder="1" applyAlignment="1">
      <alignment horizontal="left" vertical="center" wrapText="1"/>
    </xf>
    <xf numFmtId="0" fontId="15" fillId="12" borderId="123" xfId="0" applyFont="1" applyFill="1" applyBorder="1" applyAlignment="1">
      <alignment horizontal="left" vertical="center"/>
    </xf>
    <xf numFmtId="0" fontId="15" fillId="12" borderId="5" xfId="0" applyFont="1" applyFill="1" applyBorder="1" applyAlignment="1">
      <alignment horizontal="left" vertical="center" wrapText="1"/>
    </xf>
    <xf numFmtId="0" fontId="4" fillId="21" borderId="0" xfId="0" applyFont="1" applyFill="1"/>
    <xf numFmtId="0" fontId="5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12" borderId="121" xfId="0" applyFont="1" applyFill="1" applyBorder="1" applyAlignment="1">
      <alignment horizontal="left" vertical="center" wrapText="1"/>
    </xf>
    <xf numFmtId="0" fontId="15" fillId="12" borderId="121" xfId="0" applyFont="1" applyFill="1" applyBorder="1" applyAlignment="1">
      <alignment horizontal="left" vertical="center"/>
    </xf>
    <xf numFmtId="0" fontId="50" fillId="21" borderId="0" xfId="0" applyFont="1" applyFill="1"/>
    <xf numFmtId="0" fontId="15" fillId="21" borderId="0" xfId="0" applyFont="1" applyFill="1" applyAlignment="1">
      <alignment horizontal="left" vertical="center"/>
    </xf>
    <xf numFmtId="0" fontId="0" fillId="21" borderId="0" xfId="0" applyFill="1" applyAlignment="1">
      <alignment horizontal="left"/>
    </xf>
    <xf numFmtId="0" fontId="0" fillId="0" borderId="0" xfId="0" applyAlignment="1">
      <alignment horizontal="left"/>
    </xf>
    <xf numFmtId="0" fontId="0" fillId="21" borderId="0" xfId="0" applyFill="1" applyAlignment="1">
      <alignment horizontal="left" indent="1"/>
    </xf>
    <xf numFmtId="0" fontId="0" fillId="21" borderId="0" xfId="0" applyFill="1" applyAlignment="1">
      <alignment vertical="center"/>
    </xf>
    <xf numFmtId="2" fontId="15" fillId="12" borderId="121" xfId="0" applyNumberFormat="1" applyFont="1" applyFill="1" applyBorder="1" applyAlignment="1">
      <alignment horizontal="left" vertical="center"/>
    </xf>
    <xf numFmtId="0" fontId="1" fillId="21" borderId="0" xfId="0" applyFont="1" applyFill="1" applyAlignment="1">
      <alignment vertical="center"/>
    </xf>
    <xf numFmtId="165" fontId="0" fillId="21" borderId="0" xfId="0" applyNumberFormat="1" applyFill="1" applyAlignment="1">
      <alignment vertical="center"/>
    </xf>
    <xf numFmtId="0" fontId="15" fillId="21" borderId="0" xfId="0" applyFont="1" applyFill="1" applyAlignment="1">
      <alignment vertical="center"/>
    </xf>
    <xf numFmtId="0" fontId="5" fillId="21" borderId="0" xfId="0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165" fontId="0" fillId="21" borderId="0" xfId="0" applyNumberFormat="1" applyFill="1"/>
    <xf numFmtId="0" fontId="15" fillId="9" borderId="121" xfId="0" applyFont="1" applyFill="1" applyBorder="1" applyAlignment="1">
      <alignment vertical="center"/>
    </xf>
    <xf numFmtId="2" fontId="15" fillId="9" borderId="121" xfId="0" applyNumberFormat="1" applyFont="1" applyFill="1" applyBorder="1"/>
    <xf numFmtId="0" fontId="15" fillId="0" borderId="0" xfId="2" applyNumberFormat="1" applyFont="1" applyAlignment="1">
      <alignment horizontal="center" vertical="center"/>
    </xf>
    <xf numFmtId="0" fontId="7" fillId="3" borderId="112" xfId="0" applyFont="1" applyFill="1" applyBorder="1" applyAlignment="1">
      <alignment horizontal="center" vertical="center"/>
    </xf>
    <xf numFmtId="1" fontId="15" fillId="0" borderId="16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5" xfId="0" applyNumberFormat="1" applyFont="1" applyBorder="1" applyAlignment="1">
      <alignment horizontal="center" vertical="center"/>
    </xf>
    <xf numFmtId="1" fontId="23" fillId="0" borderId="121" xfId="0" applyNumberFormat="1" applyFont="1" applyBorder="1" applyAlignment="1">
      <alignment horizontal="center" vertical="center"/>
    </xf>
    <xf numFmtId="1" fontId="23" fillId="0" borderId="2" xfId="0" applyNumberFormat="1" applyFont="1" applyBorder="1" applyAlignment="1">
      <alignment horizontal="center" vertical="center"/>
    </xf>
    <xf numFmtId="0" fontId="0" fillId="11" borderId="0" xfId="0" applyFill="1" applyAlignment="1">
      <alignment horizontal="left"/>
    </xf>
    <xf numFmtId="0" fontId="0" fillId="11" borderId="0" xfId="0" applyFill="1"/>
    <xf numFmtId="0" fontId="15" fillId="11" borderId="0" xfId="0" applyFont="1" applyFill="1" applyAlignment="1">
      <alignment vertical="center"/>
    </xf>
    <xf numFmtId="38" fontId="44" fillId="0" borderId="27" xfId="0" applyNumberFormat="1" applyFont="1" applyBorder="1" applyAlignment="1">
      <alignment horizontal="center" textRotation="90" wrapText="1"/>
    </xf>
    <xf numFmtId="38" fontId="44" fillId="0" borderId="26" xfId="0" applyNumberFormat="1" applyFont="1" applyBorder="1" applyAlignment="1">
      <alignment horizontal="center" textRotation="90" wrapText="1"/>
    </xf>
    <xf numFmtId="38" fontId="44" fillId="0" borderId="28" xfId="0" applyNumberFormat="1" applyFont="1" applyBorder="1" applyAlignment="1">
      <alignment horizontal="center" textRotation="90" wrapText="1"/>
    </xf>
    <xf numFmtId="38" fontId="44" fillId="0" borderId="23" xfId="0" applyNumberFormat="1" applyFont="1" applyBorder="1" applyAlignment="1">
      <alignment horizontal="center" wrapText="1"/>
    </xf>
    <xf numFmtId="38" fontId="43" fillId="0" borderId="0" xfId="0" applyNumberFormat="1" applyFont="1" applyAlignment="1">
      <alignment horizontal="left" wrapText="1"/>
    </xf>
    <xf numFmtId="38" fontId="44" fillId="0" borderId="24" xfId="0" applyNumberFormat="1" applyFont="1" applyBorder="1" applyAlignment="1">
      <alignment horizontal="center" textRotation="90" wrapText="1"/>
    </xf>
    <xf numFmtId="38" fontId="44" fillId="0" borderId="25" xfId="0" applyNumberFormat="1" applyFont="1" applyBorder="1" applyAlignment="1">
      <alignment horizontal="center" textRotation="90" wrapText="1"/>
    </xf>
    <xf numFmtId="38" fontId="44" fillId="0" borderId="7" xfId="0" applyNumberFormat="1" applyFont="1" applyBorder="1" applyAlignment="1">
      <alignment horizontal="center" textRotation="90" wrapText="1"/>
    </xf>
    <xf numFmtId="38" fontId="44" fillId="0" borderId="29" xfId="0" applyNumberFormat="1" applyFont="1" applyBorder="1" applyAlignment="1">
      <alignment horizontal="center" textRotation="90" wrapText="1"/>
    </xf>
    <xf numFmtId="38" fontId="44" fillId="0" borderId="30" xfId="0" applyNumberFormat="1" applyFont="1" applyBorder="1" applyAlignment="1">
      <alignment horizontal="center" textRotation="90" wrapText="1"/>
    </xf>
    <xf numFmtId="38" fontId="44" fillId="11" borderId="26" xfId="0" applyNumberFormat="1" applyFont="1" applyFill="1" applyBorder="1" applyAlignment="1">
      <alignment horizontal="center" textRotation="90" wrapText="1"/>
    </xf>
    <xf numFmtId="38" fontId="44" fillId="11" borderId="27" xfId="0" applyNumberFormat="1" applyFont="1" applyFill="1" applyBorder="1" applyAlignment="1">
      <alignment horizontal="center" textRotation="90" wrapText="1"/>
    </xf>
    <xf numFmtId="38" fontId="44" fillId="11" borderId="25" xfId="0" applyNumberFormat="1" applyFont="1" applyFill="1" applyBorder="1" applyAlignment="1">
      <alignment horizontal="center" textRotation="90" wrapText="1"/>
    </xf>
    <xf numFmtId="38" fontId="44" fillId="22" borderId="26" xfId="0" applyNumberFormat="1" applyFont="1" applyFill="1" applyBorder="1" applyAlignment="1">
      <alignment horizontal="center" textRotation="90" wrapText="1"/>
    </xf>
    <xf numFmtId="169" fontId="10" fillId="0" borderId="0" xfId="0" applyNumberFormat="1" applyFont="1"/>
    <xf numFmtId="170" fontId="10" fillId="0" borderId="0" xfId="0" applyNumberFormat="1" applyFont="1"/>
    <xf numFmtId="170" fontId="0" fillId="0" borderId="0" xfId="0" applyNumberFormat="1" applyAlignment="1">
      <alignment vertical="center"/>
    </xf>
    <xf numFmtId="10" fontId="0" fillId="0" borderId="0" xfId="2" applyNumberFormat="1" applyFont="1" applyAlignment="1">
      <alignment vertical="center"/>
    </xf>
    <xf numFmtId="2" fontId="0" fillId="0" borderId="0" xfId="2" applyNumberFormat="1" applyFont="1" applyAlignment="1">
      <alignment horizontal="center" vertical="center"/>
    </xf>
    <xf numFmtId="0" fontId="17" fillId="23" borderId="5" xfId="0" applyFont="1" applyFill="1" applyBorder="1" applyAlignment="1">
      <alignment horizontal="left" vertical="center"/>
    </xf>
    <xf numFmtId="0" fontId="17" fillId="23" borderId="5" xfId="0" applyFont="1" applyFill="1" applyBorder="1" applyAlignment="1" applyProtection="1">
      <alignment horizontal="left" vertical="center"/>
      <protection locked="0"/>
    </xf>
    <xf numFmtId="0" fontId="17" fillId="24" borderId="2" xfId="0" applyFont="1" applyFill="1" applyBorder="1"/>
    <xf numFmtId="0" fontId="0" fillId="0" borderId="8" xfId="0" applyBorder="1"/>
    <xf numFmtId="0" fontId="0" fillId="0" borderId="13" xfId="0" applyBorder="1"/>
    <xf numFmtId="0" fontId="54" fillId="25" borderId="0" xfId="0" applyFont="1" applyFill="1"/>
    <xf numFmtId="0" fontId="4" fillId="21" borderId="13" xfId="0" applyFont="1" applyFill="1" applyBorder="1"/>
    <xf numFmtId="0" fontId="4" fillId="21" borderId="14" xfId="0" applyFont="1" applyFill="1" applyBorder="1"/>
    <xf numFmtId="164" fontId="4" fillId="21" borderId="0" xfId="0" applyNumberFormat="1" applyFont="1" applyFill="1"/>
    <xf numFmtId="164" fontId="4" fillId="21" borderId="10" xfId="0" applyNumberFormat="1" applyFont="1" applyFill="1" applyBorder="1"/>
    <xf numFmtId="0" fontId="4" fillId="21" borderId="8" xfId="0" applyFont="1" applyFill="1" applyBorder="1"/>
    <xf numFmtId="0" fontId="4" fillId="21" borderId="15" xfId="0" applyFont="1" applyFill="1" applyBorder="1"/>
    <xf numFmtId="164" fontId="4" fillId="21" borderId="5" xfId="0" applyNumberFormat="1" applyFont="1" applyFill="1" applyBorder="1"/>
    <xf numFmtId="164" fontId="4" fillId="21" borderId="9" xfId="0" applyNumberFormat="1" applyFont="1" applyFill="1" applyBorder="1"/>
    <xf numFmtId="0" fontId="3" fillId="21" borderId="3" xfId="0" applyFont="1" applyFill="1" applyBorder="1"/>
    <xf numFmtId="0" fontId="3" fillId="21" borderId="4" xfId="0" applyFont="1" applyFill="1" applyBorder="1"/>
    <xf numFmtId="0" fontId="3" fillId="21" borderId="121" xfId="0" applyFont="1" applyFill="1" applyBorder="1"/>
    <xf numFmtId="0" fontId="3" fillId="21" borderId="11" xfId="0" applyFont="1" applyFill="1" applyBorder="1"/>
    <xf numFmtId="0" fontId="17" fillId="26" borderId="4" xfId="0" applyFont="1" applyFill="1" applyBorder="1"/>
    <xf numFmtId="0" fontId="0" fillId="26" borderId="6" xfId="0" applyFill="1" applyBorder="1"/>
    <xf numFmtId="0" fontId="0" fillId="26" borderId="11" xfId="0" applyFill="1" applyBorder="1"/>
    <xf numFmtId="164" fontId="4" fillId="21" borderId="14" xfId="0" applyNumberFormat="1" applyFont="1" applyFill="1" applyBorder="1"/>
    <xf numFmtId="0" fontId="4" fillId="21" borderId="118" xfId="0" applyFont="1" applyFill="1" applyBorder="1"/>
    <xf numFmtId="164" fontId="4" fillId="21" borderId="112" xfId="0" applyNumberFormat="1" applyFont="1" applyFill="1" applyBorder="1"/>
    <xf numFmtId="164" fontId="4" fillId="21" borderId="119" xfId="0" applyNumberFormat="1" applyFont="1" applyFill="1" applyBorder="1"/>
    <xf numFmtId="164" fontId="4" fillId="21" borderId="12" xfId="0" applyNumberFormat="1" applyFont="1" applyFill="1" applyBorder="1"/>
    <xf numFmtId="164" fontId="4" fillId="21" borderId="15" xfId="0" applyNumberFormat="1" applyFont="1" applyFill="1" applyBorder="1"/>
    <xf numFmtId="0" fontId="0" fillId="10" borderId="0" xfId="0" applyFill="1" applyAlignment="1">
      <alignment vertical="center"/>
    </xf>
    <xf numFmtId="0" fontId="0" fillId="0" borderId="0" xfId="0" quotePrefix="1" applyAlignment="1">
      <alignment vertical="center"/>
    </xf>
    <xf numFmtId="0" fontId="4" fillId="21" borderId="119" xfId="0" applyFont="1" applyFill="1" applyBorder="1"/>
    <xf numFmtId="165" fontId="8" fillId="2" borderId="0" xfId="1" applyNumberFormat="1" applyFont="1" applyAlignment="1">
      <alignment vertical="center"/>
    </xf>
    <xf numFmtId="0" fontId="17" fillId="1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4" fillId="0" borderId="5" xfId="0" applyFont="1" applyBorder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2" fontId="0" fillId="0" borderId="112" xfId="0" applyNumberFormat="1" applyBorder="1"/>
    <xf numFmtId="2" fontId="0" fillId="0" borderId="5" xfId="0" applyNumberFormat="1" applyBorder="1"/>
    <xf numFmtId="0" fontId="4" fillId="0" borderId="6" xfId="0" applyFont="1" applyBorder="1" applyAlignment="1">
      <alignment vertical="center"/>
    </xf>
    <xf numFmtId="164" fontId="4" fillId="0" borderId="121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4" fillId="0" borderId="121" xfId="0" applyFont="1" applyBorder="1" applyAlignment="1">
      <alignment vertical="center"/>
    </xf>
    <xf numFmtId="0" fontId="0" fillId="0" borderId="121" xfId="0" applyBorder="1" applyAlignment="1">
      <alignment vertical="center"/>
    </xf>
    <xf numFmtId="0" fontId="0" fillId="0" borderId="0" xfId="0" applyAlignment="1">
      <alignment horizontal="right"/>
    </xf>
    <xf numFmtId="0" fontId="0" fillId="9" borderId="5" xfId="0" applyFill="1" applyBorder="1" applyAlignment="1">
      <alignment horizontal="right"/>
    </xf>
    <xf numFmtId="0" fontId="0" fillId="0" borderId="5" xfId="0" applyBorder="1" applyAlignment="1">
      <alignment horizontal="right"/>
    </xf>
    <xf numFmtId="0" fontId="0" fillId="9" borderId="5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1" fillId="21" borderId="0" xfId="6" applyFont="1" applyFill="1" applyAlignment="1">
      <alignment vertical="center"/>
    </xf>
    <xf numFmtId="0" fontId="1" fillId="9" borderId="0" xfId="6" applyFont="1" applyFill="1" applyAlignment="1">
      <alignment vertical="center"/>
    </xf>
    <xf numFmtId="0" fontId="56" fillId="9" borderId="0" xfId="6" applyFont="1" applyFill="1" applyAlignment="1">
      <alignment vertical="center"/>
    </xf>
    <xf numFmtId="0" fontId="55" fillId="9" borderId="0" xfId="6" applyFont="1" applyFill="1" applyAlignment="1">
      <alignment vertical="center"/>
    </xf>
    <xf numFmtId="0" fontId="1" fillId="27" borderId="0" xfId="6" applyFont="1" applyFill="1" applyAlignment="1">
      <alignment vertical="center"/>
    </xf>
    <xf numFmtId="0" fontId="3" fillId="9" borderId="0" xfId="6" applyFont="1" applyFill="1" applyAlignment="1">
      <alignment vertical="center"/>
    </xf>
    <xf numFmtId="0" fontId="57" fillId="9" borderId="0" xfId="6" applyFont="1" applyFill="1" applyAlignment="1">
      <alignment vertical="center"/>
    </xf>
    <xf numFmtId="0" fontId="58" fillId="21" borderId="0" xfId="6" applyFont="1" applyFill="1" applyAlignment="1">
      <alignment vertical="center"/>
    </xf>
    <xf numFmtId="0" fontId="4" fillId="9" borderId="0" xfId="6" applyFont="1" applyFill="1" applyAlignment="1">
      <alignment vertical="center"/>
    </xf>
    <xf numFmtId="0" fontId="59" fillId="9" borderId="0" xfId="6" applyFont="1" applyFill="1" applyAlignment="1">
      <alignment vertical="center"/>
    </xf>
    <xf numFmtId="0" fontId="4" fillId="21" borderId="0" xfId="6" applyFont="1" applyFill="1" applyAlignment="1">
      <alignment vertical="center"/>
    </xf>
    <xf numFmtId="164" fontId="4" fillId="21" borderId="0" xfId="6" applyNumberFormat="1" applyFont="1" applyFill="1" applyAlignment="1">
      <alignment horizontal="left" vertical="center"/>
    </xf>
    <xf numFmtId="0" fontId="60" fillId="9" borderId="0" xfId="6" applyFont="1" applyFill="1" applyAlignment="1">
      <alignment vertical="center"/>
    </xf>
    <xf numFmtId="0" fontId="15" fillId="21" borderId="0" xfId="6" applyFont="1" applyFill="1" applyAlignment="1">
      <alignment vertical="center"/>
    </xf>
    <xf numFmtId="0" fontId="55" fillId="21" borderId="0" xfId="5" applyFill="1" applyAlignment="1">
      <alignment vertical="center"/>
    </xf>
    <xf numFmtId="38" fontId="10" fillId="0" borderId="31" xfId="7" applyNumberFormat="1" applyFont="1" applyBorder="1" applyAlignment="1">
      <alignment horizontal="left"/>
    </xf>
    <xf numFmtId="38" fontId="44" fillId="0" borderId="32" xfId="7" applyNumberFormat="1" applyFont="1" applyBorder="1" applyAlignment="1">
      <alignment horizontal="center"/>
    </xf>
    <xf numFmtId="38" fontId="44" fillId="0" borderId="33" xfId="7" applyNumberFormat="1" applyFont="1" applyBorder="1" applyAlignment="1">
      <alignment horizontal="center"/>
    </xf>
    <xf numFmtId="38" fontId="44" fillId="0" borderId="34" xfId="7" applyNumberFormat="1" applyFont="1" applyBorder="1" applyAlignment="1">
      <alignment horizontal="center"/>
    </xf>
    <xf numFmtId="38" fontId="44" fillId="0" borderId="35" xfId="7" applyNumberFormat="1" applyFont="1" applyBorder="1" applyAlignment="1">
      <alignment horizontal="center"/>
    </xf>
    <xf numFmtId="38" fontId="10" fillId="0" borderId="36" xfId="7" applyNumberFormat="1" applyFont="1" applyBorder="1" applyAlignment="1">
      <alignment horizontal="center"/>
    </xf>
    <xf numFmtId="38" fontId="44" fillId="0" borderId="37" xfId="7" applyNumberFormat="1" applyFont="1" applyBorder="1" applyAlignment="1">
      <alignment horizontal="center"/>
    </xf>
    <xf numFmtId="38" fontId="10" fillId="0" borderId="34" xfId="7" applyNumberFormat="1" applyFont="1" applyBorder="1" applyAlignment="1">
      <alignment horizontal="center"/>
    </xf>
    <xf numFmtId="38" fontId="10" fillId="28" borderId="35" xfId="7" applyNumberFormat="1" applyFont="1" applyFill="1" applyBorder="1" applyAlignment="1">
      <alignment horizontal="center"/>
    </xf>
    <xf numFmtId="38" fontId="10" fillId="0" borderId="35" xfId="7" applyNumberFormat="1" applyFont="1" applyBorder="1" applyAlignment="1">
      <alignment horizontal="center"/>
    </xf>
    <xf numFmtId="38" fontId="10" fillId="0" borderId="61" xfId="7" applyNumberFormat="1" applyFont="1" applyBorder="1" applyAlignment="1">
      <alignment horizontal="center"/>
    </xf>
    <xf numFmtId="38" fontId="10" fillId="0" borderId="38" xfId="7" applyNumberFormat="1" applyFont="1" applyBorder="1" applyAlignment="1">
      <alignment horizontal="center"/>
    </xf>
    <xf numFmtId="38" fontId="44" fillId="0" borderId="31" xfId="7" applyNumberFormat="1" applyFont="1" applyBorder="1" applyAlignment="1">
      <alignment horizontal="center"/>
    </xf>
    <xf numFmtId="38" fontId="10" fillId="0" borderId="39" xfId="7" applyNumberFormat="1" applyFont="1" applyBorder="1" applyAlignment="1">
      <alignment horizontal="center"/>
    </xf>
    <xf numFmtId="38" fontId="10" fillId="0" borderId="37" xfId="7" applyNumberFormat="1" applyFont="1" applyBorder="1" applyAlignment="1">
      <alignment horizontal="center"/>
    </xf>
    <xf numFmtId="38" fontId="10" fillId="0" borderId="40" xfId="7" applyNumberFormat="1" applyFont="1" applyBorder="1" applyAlignment="1">
      <alignment horizontal="center"/>
    </xf>
    <xf numFmtId="38" fontId="10" fillId="0" borderId="41" xfId="7" applyNumberFormat="1" applyFont="1" applyBorder="1" applyAlignment="1">
      <alignment horizontal="left"/>
    </xf>
    <xf numFmtId="38" fontId="44" fillId="0" borderId="42" xfId="7" applyNumberFormat="1" applyFont="1" applyBorder="1" applyAlignment="1">
      <alignment horizontal="center"/>
    </xf>
    <xf numFmtId="38" fontId="44" fillId="0" borderId="43" xfId="7" applyNumberFormat="1" applyFont="1" applyBorder="1" applyAlignment="1">
      <alignment horizontal="center"/>
    </xf>
    <xf numFmtId="38" fontId="44" fillId="0" borderId="44" xfId="7" applyNumberFormat="1" applyFont="1" applyBorder="1" applyAlignment="1">
      <alignment horizontal="center"/>
    </xf>
    <xf numFmtId="38" fontId="44" fillId="0" borderId="45" xfId="7" applyNumberFormat="1" applyFont="1" applyBorder="1" applyAlignment="1">
      <alignment horizontal="center"/>
    </xf>
    <xf numFmtId="38" fontId="10" fillId="0" borderId="45" xfId="7" applyNumberFormat="1" applyFont="1" applyBorder="1" applyAlignment="1">
      <alignment horizontal="center"/>
    </xf>
    <xf numFmtId="38" fontId="44" fillId="0" borderId="46" xfId="7" applyNumberFormat="1" applyFont="1" applyBorder="1" applyAlignment="1">
      <alignment horizontal="center"/>
    </xf>
    <xf numFmtId="38" fontId="10" fillId="0" borderId="44" xfId="7" applyNumberFormat="1" applyFont="1" applyBorder="1" applyAlignment="1">
      <alignment horizontal="center"/>
    </xf>
    <xf numFmtId="38" fontId="10" fillId="28" borderId="47" xfId="7" applyNumberFormat="1" applyFont="1" applyFill="1" applyBorder="1" applyAlignment="1">
      <alignment horizontal="center"/>
    </xf>
    <xf numFmtId="38" fontId="10" fillId="0" borderId="47" xfId="7" applyNumberFormat="1" applyFont="1" applyBorder="1" applyAlignment="1">
      <alignment horizontal="center"/>
    </xf>
    <xf numFmtId="38" fontId="44" fillId="0" borderId="41" xfId="7" applyNumberFormat="1" applyFont="1" applyBorder="1" applyAlignment="1">
      <alignment horizontal="center"/>
    </xf>
    <xf numFmtId="38" fontId="10" fillId="0" borderId="48" xfId="7" applyNumberFormat="1" applyFont="1" applyBorder="1" applyAlignment="1">
      <alignment horizontal="center"/>
    </xf>
    <xf numFmtId="38" fontId="10" fillId="0" borderId="46" xfId="7" applyNumberFormat="1" applyFont="1" applyBorder="1" applyAlignment="1">
      <alignment horizontal="center"/>
    </xf>
    <xf numFmtId="38" fontId="10" fillId="0" borderId="49" xfId="7" applyNumberFormat="1" applyFont="1" applyBorder="1" applyAlignment="1">
      <alignment horizontal="center"/>
    </xf>
    <xf numFmtId="38" fontId="44" fillId="0" borderId="47" xfId="7" applyNumberFormat="1" applyFont="1" applyBorder="1" applyAlignment="1">
      <alignment horizontal="center"/>
    </xf>
    <xf numFmtId="38" fontId="10" fillId="0" borderId="50" xfId="7" applyNumberFormat="1" applyFont="1" applyBorder="1" applyAlignment="1">
      <alignment horizontal="left"/>
    </xf>
    <xf numFmtId="38" fontId="44" fillId="0" borderId="51" xfId="7" applyNumberFormat="1" applyFont="1" applyBorder="1" applyAlignment="1">
      <alignment horizontal="center"/>
    </xf>
    <xf numFmtId="38" fontId="44" fillId="0" borderId="52" xfId="7" applyNumberFormat="1" applyFont="1" applyBorder="1" applyAlignment="1">
      <alignment horizontal="center"/>
    </xf>
    <xf numFmtId="38" fontId="10" fillId="0" borderId="53" xfId="7" applyNumberFormat="1" applyFont="1" applyBorder="1" applyAlignment="1">
      <alignment horizontal="center"/>
    </xf>
    <xf numFmtId="38" fontId="44" fillId="0" borderId="54" xfId="7" applyNumberFormat="1" applyFont="1" applyBorder="1" applyAlignment="1">
      <alignment horizontal="center"/>
    </xf>
    <xf numFmtId="38" fontId="10" fillId="0" borderId="52" xfId="7" applyNumberFormat="1" applyFont="1" applyBorder="1" applyAlignment="1">
      <alignment horizontal="center"/>
    </xf>
    <xf numFmtId="38" fontId="10" fillId="28" borderId="52" xfId="7" applyNumberFormat="1" applyFont="1" applyFill="1" applyBorder="1" applyAlignment="1">
      <alignment horizontal="center"/>
    </xf>
    <xf numFmtId="38" fontId="44" fillId="0" borderId="50" xfId="7" applyNumberFormat="1" applyFont="1" applyBorder="1" applyAlignment="1">
      <alignment horizontal="center"/>
    </xf>
    <xf numFmtId="38" fontId="10" fillId="0" borderId="55" xfId="7" applyNumberFormat="1" applyFont="1" applyBorder="1" applyAlignment="1">
      <alignment horizontal="center"/>
    </xf>
    <xf numFmtId="38" fontId="10" fillId="0" borderId="56" xfId="7" applyNumberFormat="1" applyFont="1" applyBorder="1" applyAlignment="1">
      <alignment horizontal="center"/>
    </xf>
    <xf numFmtId="38" fontId="10" fillId="0" borderId="54" xfId="7" applyNumberFormat="1" applyFont="1" applyBorder="1" applyAlignment="1">
      <alignment horizontal="center"/>
    </xf>
    <xf numFmtId="38" fontId="10" fillId="0" borderId="57" xfId="7" applyNumberFormat="1" applyFont="1" applyBorder="1" applyAlignment="1">
      <alignment horizontal="center"/>
    </xf>
    <xf numFmtId="38" fontId="44" fillId="0" borderId="16" xfId="7" applyNumberFormat="1" applyFont="1" applyBorder="1" applyAlignment="1">
      <alignment horizontal="left"/>
    </xf>
    <xf numFmtId="38" fontId="44" fillId="0" borderId="58" xfId="7" applyNumberFormat="1" applyFont="1" applyBorder="1" applyAlignment="1">
      <alignment horizontal="center"/>
    </xf>
    <xf numFmtId="38" fontId="44" fillId="0" borderId="59" xfId="7" applyNumberFormat="1" applyFont="1" applyBorder="1" applyAlignment="1">
      <alignment horizontal="center"/>
    </xf>
    <xf numFmtId="38" fontId="44" fillId="0" borderId="16" xfId="7" applyNumberFormat="1" applyFont="1" applyBorder="1" applyAlignment="1">
      <alignment horizontal="center"/>
    </xf>
    <xf numFmtId="38" fontId="44" fillId="0" borderId="38" xfId="7" applyNumberFormat="1" applyFont="1" applyBorder="1" applyAlignment="1">
      <alignment horizontal="center"/>
    </xf>
    <xf numFmtId="38" fontId="44" fillId="0" borderId="60" xfId="7" applyNumberFormat="1" applyFont="1" applyBorder="1" applyAlignment="1">
      <alignment horizontal="center"/>
    </xf>
    <xf numFmtId="38" fontId="44" fillId="28" borderId="38" xfId="7" applyNumberFormat="1" applyFont="1" applyFill="1" applyBorder="1" applyAlignment="1">
      <alignment horizontal="center"/>
    </xf>
    <xf numFmtId="38" fontId="44" fillId="0" borderId="61" xfId="7" applyNumberFormat="1" applyFont="1" applyBorder="1" applyAlignment="1">
      <alignment horizontal="center"/>
    </xf>
    <xf numFmtId="38" fontId="44" fillId="0" borderId="62" xfId="7" applyNumberFormat="1" applyFont="1" applyBorder="1" applyAlignment="1">
      <alignment horizontal="center"/>
    </xf>
    <xf numFmtId="38" fontId="44" fillId="0" borderId="63" xfId="7" applyNumberFormat="1" applyFont="1" applyBorder="1" applyAlignment="1">
      <alignment horizontal="center"/>
    </xf>
    <xf numFmtId="38" fontId="44" fillId="0" borderId="2" xfId="7" applyNumberFormat="1" applyFont="1" applyBorder="1" applyAlignment="1">
      <alignment horizontal="left"/>
    </xf>
    <xf numFmtId="38" fontId="44" fillId="0" borderId="64" xfId="7" applyNumberFormat="1" applyFont="1" applyBorder="1" applyAlignment="1">
      <alignment horizontal="center"/>
    </xf>
    <xf numFmtId="38" fontId="44" fillId="0" borderId="22" xfId="7" applyNumberFormat="1" applyFont="1" applyBorder="1" applyAlignment="1">
      <alignment horizontal="center"/>
    </xf>
    <xf numFmtId="38" fontId="44" fillId="0" borderId="2" xfId="7" applyNumberFormat="1" applyFont="1" applyBorder="1" applyAlignment="1">
      <alignment horizontal="center"/>
    </xf>
    <xf numFmtId="38" fontId="44" fillId="0" borderId="65" xfId="7" applyNumberFormat="1" applyFont="1" applyBorder="1" applyAlignment="1">
      <alignment horizontal="center"/>
    </xf>
    <xf numFmtId="38" fontId="44" fillId="0" borderId="66" xfId="7" applyNumberFormat="1" applyFont="1" applyBorder="1" applyAlignment="1">
      <alignment horizontal="center"/>
    </xf>
    <xf numFmtId="38" fontId="44" fillId="0" borderId="67" xfId="7" applyNumberFormat="1" applyFont="1" applyBorder="1" applyAlignment="1">
      <alignment horizontal="center"/>
    </xf>
    <xf numFmtId="38" fontId="44" fillId="28" borderId="65" xfId="7" applyNumberFormat="1" applyFont="1" applyFill="1" applyBorder="1" applyAlignment="1">
      <alignment horizontal="center"/>
    </xf>
    <xf numFmtId="38" fontId="10" fillId="0" borderId="67" xfId="7" applyNumberFormat="1" applyFont="1" applyBorder="1" applyAlignment="1">
      <alignment horizontal="center"/>
    </xf>
    <xf numFmtId="38" fontId="44" fillId="0" borderId="68" xfId="7" applyNumberFormat="1" applyFont="1" applyBorder="1" applyAlignment="1">
      <alignment horizontal="center"/>
    </xf>
    <xf numFmtId="38" fontId="44" fillId="0" borderId="69" xfId="7" applyNumberFormat="1" applyFont="1" applyBorder="1" applyAlignment="1">
      <alignment horizontal="center"/>
    </xf>
    <xf numFmtId="38" fontId="44" fillId="0" borderId="70" xfId="7" applyNumberFormat="1" applyFont="1" applyBorder="1" applyAlignment="1">
      <alignment horizontal="center"/>
    </xf>
    <xf numFmtId="38" fontId="44" fillId="0" borderId="71" xfId="7" applyNumberFormat="1" applyFont="1" applyBorder="1" applyAlignment="1">
      <alignment horizontal="center"/>
    </xf>
    <xf numFmtId="38" fontId="44" fillId="0" borderId="72" xfId="7" applyNumberFormat="1" applyFont="1" applyBorder="1" applyAlignment="1">
      <alignment horizontal="center"/>
    </xf>
    <xf numFmtId="38" fontId="10" fillId="0" borderId="73" xfId="7" applyNumberFormat="1" applyFont="1" applyBorder="1" applyAlignment="1">
      <alignment horizontal="left"/>
    </xf>
    <xf numFmtId="38" fontId="44" fillId="0" borderId="74" xfId="7" applyNumberFormat="1" applyFont="1" applyBorder="1" applyAlignment="1">
      <alignment horizontal="center"/>
    </xf>
    <xf numFmtId="38" fontId="44" fillId="0" borderId="75" xfId="7" applyNumberFormat="1" applyFont="1" applyBorder="1" applyAlignment="1">
      <alignment horizontal="center"/>
    </xf>
    <xf numFmtId="38" fontId="10" fillId="0" borderId="76" xfId="7" applyNumberFormat="1" applyFont="1" applyBorder="1" applyAlignment="1">
      <alignment horizontal="center"/>
    </xf>
    <xf numFmtId="38" fontId="10" fillId="0" borderId="77" xfId="7" applyNumberFormat="1" applyFont="1" applyBorder="1" applyAlignment="1">
      <alignment horizontal="center"/>
    </xf>
    <xf numFmtId="38" fontId="10" fillId="0" borderId="78" xfId="7" applyNumberFormat="1" applyFont="1" applyBorder="1" applyAlignment="1">
      <alignment horizontal="center"/>
    </xf>
    <xf numFmtId="38" fontId="44" fillId="0" borderId="79" xfId="7" applyNumberFormat="1" applyFont="1" applyBorder="1" applyAlignment="1">
      <alignment horizontal="center"/>
    </xf>
    <xf numFmtId="38" fontId="10" fillId="28" borderId="77" xfId="7" applyNumberFormat="1" applyFont="1" applyFill="1" applyBorder="1" applyAlignment="1">
      <alignment horizontal="center"/>
    </xf>
    <xf numFmtId="38" fontId="44" fillId="0" borderId="73" xfId="7" applyNumberFormat="1" applyFont="1" applyBorder="1" applyAlignment="1">
      <alignment horizontal="center"/>
    </xf>
    <xf numFmtId="38" fontId="10" fillId="0" borderId="80" xfId="7" applyNumberFormat="1" applyFont="1" applyBorder="1" applyAlignment="1">
      <alignment horizontal="center"/>
    </xf>
    <xf numFmtId="38" fontId="10" fillId="0" borderId="79" xfId="7" applyNumberFormat="1" applyFont="1" applyBorder="1" applyAlignment="1">
      <alignment horizontal="center"/>
    </xf>
    <xf numFmtId="38" fontId="10" fillId="0" borderId="81" xfId="7" applyNumberFormat="1" applyFont="1" applyBorder="1" applyAlignment="1">
      <alignment horizontal="center"/>
    </xf>
    <xf numFmtId="38" fontId="10" fillId="0" borderId="82" xfId="7" applyNumberFormat="1" applyFont="1" applyBorder="1" applyAlignment="1">
      <alignment horizontal="center"/>
    </xf>
    <xf numFmtId="38" fontId="10" fillId="0" borderId="83" xfId="7" applyNumberFormat="1" applyFont="1" applyBorder="1" applyAlignment="1">
      <alignment horizontal="left"/>
    </xf>
    <xf numFmtId="38" fontId="44" fillId="0" borderId="84" xfId="7" applyNumberFormat="1" applyFont="1" applyBorder="1" applyAlignment="1">
      <alignment horizontal="center"/>
    </xf>
    <xf numFmtId="38" fontId="44" fillId="0" borderId="85" xfId="7" applyNumberFormat="1" applyFont="1" applyBorder="1" applyAlignment="1">
      <alignment horizontal="center"/>
    </xf>
    <xf numFmtId="38" fontId="10" fillId="0" borderId="86" xfId="7" applyNumberFormat="1" applyFont="1" applyBorder="1" applyAlignment="1">
      <alignment horizontal="center"/>
    </xf>
    <xf numFmtId="38" fontId="10" fillId="0" borderId="87" xfId="7" applyNumberFormat="1" applyFont="1" applyBorder="1" applyAlignment="1">
      <alignment horizontal="center"/>
    </xf>
    <xf numFmtId="38" fontId="10" fillId="0" borderId="88" xfId="7" applyNumberFormat="1" applyFont="1" applyBorder="1" applyAlignment="1">
      <alignment horizontal="center"/>
    </xf>
    <xf numFmtId="38" fontId="44" fillId="0" borderId="89" xfId="7" applyNumberFormat="1" applyFont="1" applyBorder="1" applyAlignment="1">
      <alignment horizontal="center"/>
    </xf>
    <xf numFmtId="38" fontId="10" fillId="28" borderId="87" xfId="7" applyNumberFormat="1" applyFont="1" applyFill="1" applyBorder="1" applyAlignment="1">
      <alignment horizontal="center"/>
    </xf>
    <xf numFmtId="38" fontId="44" fillId="0" borderId="83" xfId="7" applyNumberFormat="1" applyFont="1" applyBorder="1" applyAlignment="1">
      <alignment horizontal="center"/>
    </xf>
    <xf numFmtId="38" fontId="10" fillId="0" borderId="90" xfId="7" applyNumberFormat="1" applyFont="1" applyBorder="1" applyAlignment="1">
      <alignment horizontal="center"/>
    </xf>
    <xf numFmtId="38" fontId="10" fillId="0" borderId="89" xfId="7" applyNumberFormat="1" applyFont="1" applyBorder="1" applyAlignment="1">
      <alignment horizontal="center"/>
    </xf>
    <xf numFmtId="38" fontId="10" fillId="0" borderId="91" xfId="7" applyNumberFormat="1" applyFont="1" applyBorder="1" applyAlignment="1">
      <alignment horizontal="center"/>
    </xf>
    <xf numFmtId="38" fontId="44" fillId="0" borderId="0" xfId="7" applyNumberFormat="1" applyFont="1" applyAlignment="1">
      <alignment horizontal="left"/>
    </xf>
    <xf numFmtId="38" fontId="44" fillId="0" borderId="23" xfId="7" applyNumberFormat="1" applyFont="1" applyBorder="1" applyAlignment="1">
      <alignment horizontal="center"/>
    </xf>
    <xf numFmtId="38" fontId="44" fillId="0" borderId="92" xfId="7" applyNumberFormat="1" applyFont="1" applyBorder="1" applyAlignment="1">
      <alignment horizontal="center"/>
    </xf>
    <xf numFmtId="38" fontId="44" fillId="0" borderId="93" xfId="7" applyNumberFormat="1" applyFont="1" applyBorder="1" applyAlignment="1">
      <alignment horizontal="center"/>
    </xf>
    <xf numFmtId="38" fontId="44" fillId="0" borderId="94" xfId="7" applyNumberFormat="1" applyFont="1" applyBorder="1" applyAlignment="1">
      <alignment horizontal="center"/>
    </xf>
    <xf numFmtId="38" fontId="44" fillId="0" borderId="95" xfId="7" applyNumberFormat="1" applyFont="1" applyBorder="1" applyAlignment="1">
      <alignment horizontal="center"/>
    </xf>
    <xf numFmtId="38" fontId="44" fillId="0" borderId="13" xfId="7" applyNumberFormat="1" applyFont="1" applyBorder="1" applyAlignment="1">
      <alignment horizontal="center"/>
    </xf>
    <xf numFmtId="38" fontId="44" fillId="28" borderId="94" xfId="7" applyNumberFormat="1" applyFont="1" applyFill="1" applyBorder="1" applyAlignment="1">
      <alignment horizontal="center"/>
    </xf>
    <xf numFmtId="38" fontId="44" fillId="0" borderId="0" xfId="7" applyNumberFormat="1" applyFont="1" applyAlignment="1">
      <alignment horizontal="center"/>
    </xf>
    <xf numFmtId="38" fontId="44" fillId="0" borderId="14" xfId="7" applyNumberFormat="1" applyFont="1" applyBorder="1" applyAlignment="1">
      <alignment horizontal="center"/>
    </xf>
    <xf numFmtId="38" fontId="44" fillId="0" borderId="96" xfId="7" applyNumberFormat="1" applyFont="1" applyBorder="1" applyAlignment="1">
      <alignment horizontal="center"/>
    </xf>
    <xf numFmtId="38" fontId="44" fillId="0" borderId="97" xfId="7" applyNumberFormat="1" applyFont="1" applyBorder="1" applyAlignment="1">
      <alignment horizontal="center"/>
    </xf>
    <xf numFmtId="38" fontId="10" fillId="0" borderId="98" xfId="7" applyNumberFormat="1" applyFont="1" applyBorder="1" applyAlignment="1">
      <alignment horizontal="center"/>
    </xf>
    <xf numFmtId="1" fontId="10" fillId="0" borderId="46" xfId="7" applyNumberFormat="1" applyFont="1" applyBorder="1" applyAlignment="1">
      <alignment horizontal="center"/>
    </xf>
    <xf numFmtId="38" fontId="44" fillId="0" borderId="112" xfId="7" applyNumberFormat="1" applyFont="1" applyBorder="1" applyAlignment="1">
      <alignment horizontal="left"/>
    </xf>
    <xf numFmtId="38" fontId="44" fillId="0" borderId="113" xfId="7" applyNumberFormat="1" applyFont="1" applyBorder="1" applyAlignment="1">
      <alignment horizontal="center"/>
    </xf>
    <xf numFmtId="38" fontId="44" fillId="0" borderId="114" xfId="7" applyNumberFormat="1" applyFont="1" applyBorder="1" applyAlignment="1">
      <alignment horizontal="center"/>
    </xf>
    <xf numFmtId="38" fontId="10" fillId="0" borderId="115" xfId="7" applyNumberFormat="1" applyFont="1" applyBorder="1" applyAlignment="1">
      <alignment horizontal="center"/>
    </xf>
    <xf numFmtId="38" fontId="10" fillId="0" borderId="116" xfId="7" applyNumberFormat="1" applyFont="1" applyBorder="1" applyAlignment="1">
      <alignment horizontal="center"/>
    </xf>
    <xf numFmtId="38" fontId="10" fillId="0" borderId="117" xfId="7" applyNumberFormat="1" applyFont="1" applyBorder="1" applyAlignment="1">
      <alignment horizontal="center"/>
    </xf>
    <xf numFmtId="38" fontId="44" fillId="0" borderId="118" xfId="7" applyNumberFormat="1" applyFont="1" applyBorder="1" applyAlignment="1">
      <alignment horizontal="center"/>
    </xf>
    <xf numFmtId="38" fontId="44" fillId="0" borderId="112" xfId="7" applyNumberFormat="1" applyFont="1" applyBorder="1" applyAlignment="1">
      <alignment horizontal="center"/>
    </xf>
    <xf numFmtId="38" fontId="10" fillId="0" borderId="119" xfId="7" applyNumberFormat="1" applyFont="1" applyBorder="1" applyAlignment="1">
      <alignment horizontal="center"/>
    </xf>
    <xf numFmtId="38" fontId="10" fillId="0" borderId="96" xfId="7" applyNumberFormat="1" applyFont="1" applyBorder="1" applyAlignment="1">
      <alignment horizontal="center"/>
    </xf>
    <xf numFmtId="38" fontId="10" fillId="0" borderId="118" xfId="7" applyNumberFormat="1" applyFont="1" applyBorder="1" applyAlignment="1">
      <alignment horizontal="center"/>
    </xf>
    <xf numFmtId="38" fontId="10" fillId="0" borderId="120" xfId="7" applyNumberFormat="1" applyFont="1" applyBorder="1" applyAlignment="1">
      <alignment horizontal="center"/>
    </xf>
    <xf numFmtId="38" fontId="44" fillId="0" borderId="99" xfId="7" applyNumberFormat="1" applyFont="1" applyBorder="1" applyAlignment="1">
      <alignment horizontal="center"/>
    </xf>
    <xf numFmtId="38" fontId="10" fillId="0" borderId="100" xfId="7" applyNumberFormat="1" applyFont="1" applyBorder="1" applyAlignment="1">
      <alignment horizontal="center"/>
    </xf>
    <xf numFmtId="38" fontId="44" fillId="0" borderId="77" xfId="7" applyNumberFormat="1" applyFont="1" applyBorder="1" applyAlignment="1">
      <alignment horizontal="center"/>
    </xf>
    <xf numFmtId="38" fontId="10" fillId="0" borderId="73" xfId="7" applyNumberFormat="1" applyFont="1" applyBorder="1" applyAlignment="1">
      <alignment horizontal="center"/>
    </xf>
    <xf numFmtId="38" fontId="10" fillId="0" borderId="0" xfId="7" applyNumberFormat="1" applyFont="1" applyAlignment="1">
      <alignment horizontal="left"/>
    </xf>
    <xf numFmtId="38" fontId="44" fillId="0" borderId="10" xfId="7" applyNumberFormat="1" applyFont="1" applyBorder="1" applyAlignment="1">
      <alignment horizontal="center"/>
    </xf>
    <xf numFmtId="38" fontId="44" fillId="0" borderId="101" xfId="7" applyNumberFormat="1" applyFont="1" applyBorder="1" applyAlignment="1">
      <alignment horizontal="center"/>
    </xf>
    <xf numFmtId="38" fontId="10" fillId="0" borderId="95" xfId="7" applyNumberFormat="1" applyFont="1" applyBorder="1" applyAlignment="1">
      <alignment horizontal="center"/>
    </xf>
    <xf numFmtId="38" fontId="10" fillId="0" borderId="0" xfId="7" applyNumberFormat="1" applyFont="1" applyAlignment="1">
      <alignment horizontal="center"/>
    </xf>
    <xf numFmtId="38" fontId="10" fillId="0" borderId="94" xfId="7" applyNumberFormat="1" applyFont="1" applyBorder="1" applyAlignment="1">
      <alignment horizontal="center"/>
    </xf>
    <xf numFmtId="38" fontId="10" fillId="0" borderId="14" xfId="7" applyNumberFormat="1" applyFont="1" applyBorder="1" applyAlignment="1">
      <alignment horizontal="center"/>
    </xf>
    <xf numFmtId="38" fontId="10" fillId="0" borderId="93" xfId="7" applyNumberFormat="1" applyFont="1" applyBorder="1" applyAlignment="1">
      <alignment horizontal="center"/>
    </xf>
    <xf numFmtId="38" fontId="10" fillId="0" borderId="13" xfId="7" applyNumberFormat="1" applyFont="1" applyBorder="1" applyAlignment="1">
      <alignment horizontal="center"/>
    </xf>
    <xf numFmtId="38" fontId="10" fillId="0" borderId="97" xfId="7" applyNumberFormat="1" applyFont="1" applyBorder="1" applyAlignment="1">
      <alignment horizontal="center"/>
    </xf>
    <xf numFmtId="38" fontId="44" fillId="0" borderId="102" xfId="7" applyNumberFormat="1" applyFont="1" applyBorder="1" applyAlignment="1">
      <alignment horizontal="center"/>
    </xf>
    <xf numFmtId="38" fontId="10" fillId="0" borderId="103" xfId="7" applyNumberFormat="1" applyFont="1" applyBorder="1" applyAlignment="1">
      <alignment horizontal="center"/>
    </xf>
    <xf numFmtId="38" fontId="10" fillId="0" borderId="50" xfId="7" applyNumberFormat="1" applyFont="1" applyBorder="1" applyAlignment="1">
      <alignment horizontal="center"/>
    </xf>
    <xf numFmtId="38" fontId="10" fillId="28" borderId="94" xfId="7" applyNumberFormat="1" applyFont="1" applyFill="1" applyBorder="1" applyAlignment="1">
      <alignment horizontal="center"/>
    </xf>
    <xf numFmtId="38" fontId="44" fillId="0" borderId="104" xfId="7" applyNumberFormat="1" applyFont="1" applyBorder="1" applyAlignment="1">
      <alignment horizontal="left"/>
    </xf>
    <xf numFmtId="38" fontId="44" fillId="0" borderId="105" xfId="7" applyNumberFormat="1" applyFont="1" applyBorder="1" applyAlignment="1">
      <alignment horizontal="center"/>
    </xf>
    <xf numFmtId="38" fontId="44" fillId="0" borderId="106" xfId="7" applyNumberFormat="1" applyFont="1" applyBorder="1" applyAlignment="1">
      <alignment horizontal="center"/>
    </xf>
    <xf numFmtId="38" fontId="44" fillId="0" borderId="107" xfId="7" applyNumberFormat="1" applyFont="1" applyBorder="1" applyAlignment="1">
      <alignment horizontal="center"/>
    </xf>
    <xf numFmtId="38" fontId="44" fillId="0" borderId="108" xfId="7" applyNumberFormat="1" applyFont="1" applyBorder="1" applyAlignment="1">
      <alignment horizontal="center"/>
    </xf>
    <xf numFmtId="38" fontId="44" fillId="0" borderId="109" xfId="7" applyNumberFormat="1" applyFont="1" applyBorder="1" applyAlignment="1">
      <alignment horizontal="center"/>
    </xf>
    <xf numFmtId="38" fontId="44" fillId="28" borderId="108" xfId="7" applyNumberFormat="1" applyFont="1" applyFill="1" applyBorder="1" applyAlignment="1">
      <alignment horizontal="center"/>
    </xf>
    <xf numFmtId="38" fontId="44" fillId="0" borderId="104" xfId="7" applyNumberFormat="1" applyFont="1" applyBorder="1" applyAlignment="1">
      <alignment horizontal="center"/>
    </xf>
    <xf numFmtId="38" fontId="44" fillId="0" borderId="110" xfId="7" applyNumberFormat="1" applyFont="1" applyBorder="1" applyAlignment="1">
      <alignment horizontal="center"/>
    </xf>
    <xf numFmtId="38" fontId="44" fillId="0" borderId="111" xfId="7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15" fillId="0" borderId="0" xfId="0" applyFont="1"/>
    <xf numFmtId="167" fontId="5" fillId="0" borderId="0" xfId="0" applyNumberFormat="1" applyFont="1" applyAlignment="1">
      <alignment horizontal="center" vertical="center"/>
    </xf>
    <xf numFmtId="164" fontId="64" fillId="0" borderId="16" xfId="0" applyNumberFormat="1" applyFont="1" applyBorder="1" applyAlignment="1">
      <alignment horizontal="left" vertical="center"/>
    </xf>
    <xf numFmtId="1" fontId="64" fillId="0" borderId="16" xfId="0" applyNumberFormat="1" applyFont="1" applyBorder="1" applyAlignment="1">
      <alignment horizontal="center" vertical="center"/>
    </xf>
    <xf numFmtId="0" fontId="64" fillId="0" borderId="5" xfId="0" applyFont="1" applyBorder="1" applyAlignment="1">
      <alignment vertical="center"/>
    </xf>
    <xf numFmtId="164" fontId="64" fillId="7" borderId="16" xfId="0" applyNumberFormat="1" applyFont="1" applyFill="1" applyBorder="1" applyAlignment="1">
      <alignment horizontal="center" vertical="center"/>
    </xf>
    <xf numFmtId="164" fontId="64" fillId="0" borderId="0" xfId="0" applyNumberFormat="1" applyFont="1" applyAlignment="1">
      <alignment horizontal="center" vertical="center"/>
    </xf>
    <xf numFmtId="165" fontId="64" fillId="0" borderId="16" xfId="0" applyNumberFormat="1" applyFont="1" applyBorder="1" applyAlignment="1">
      <alignment vertical="center"/>
    </xf>
    <xf numFmtId="164" fontId="64" fillId="0" borderId="5" xfId="0" applyNumberFormat="1" applyFont="1" applyBorder="1" applyAlignment="1">
      <alignment horizontal="center" vertical="center"/>
    </xf>
    <xf numFmtId="0" fontId="64" fillId="0" borderId="0" xfId="0" applyFont="1" applyAlignment="1">
      <alignment vertical="center"/>
    </xf>
    <xf numFmtId="165" fontId="64" fillId="0" borderId="0" xfId="0" applyNumberFormat="1" applyFont="1" applyAlignment="1">
      <alignment vertical="center"/>
    </xf>
    <xf numFmtId="164" fontId="64" fillId="7" borderId="0" xfId="0" applyNumberFormat="1" applyFont="1" applyFill="1" applyAlignment="1">
      <alignment horizontal="center" vertical="center"/>
    </xf>
    <xf numFmtId="1" fontId="64" fillId="0" borderId="0" xfId="0" applyNumberFormat="1" applyFont="1" applyAlignment="1">
      <alignment horizontal="center" vertical="center"/>
    </xf>
    <xf numFmtId="164" fontId="64" fillId="0" borderId="0" xfId="0" applyNumberFormat="1" applyFont="1" applyAlignment="1">
      <alignment horizontal="left" vertical="center"/>
    </xf>
    <xf numFmtId="165" fontId="64" fillId="0" borderId="5" xfId="0" applyNumberFormat="1" applyFont="1" applyBorder="1" applyAlignment="1">
      <alignment vertical="center"/>
    </xf>
    <xf numFmtId="164" fontId="64" fillId="7" borderId="5" xfId="0" applyNumberFormat="1" applyFont="1" applyFill="1" applyBorder="1" applyAlignment="1">
      <alignment horizontal="center" vertical="center"/>
    </xf>
    <xf numFmtId="1" fontId="64" fillId="0" borderId="5" xfId="0" applyNumberFormat="1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5" xfId="0" applyNumberFormat="1" applyBorder="1" applyAlignment="1">
      <alignment vertical="center"/>
    </xf>
    <xf numFmtId="0" fontId="0" fillId="0" borderId="0" xfId="0" applyAlignment="1">
      <alignment horizontal="right" vertical="center"/>
    </xf>
    <xf numFmtId="0" fontId="65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164" fontId="23" fillId="0" borderId="5" xfId="0" applyNumberFormat="1" applyFont="1" applyBorder="1" applyAlignment="1">
      <alignment horizontal="center" vertical="center"/>
    </xf>
    <xf numFmtId="164" fontId="64" fillId="11" borderId="0" xfId="0" applyNumberFormat="1" applyFont="1" applyFill="1" applyAlignment="1">
      <alignment horizontal="center" vertical="center"/>
    </xf>
    <xf numFmtId="164" fontId="64" fillId="11" borderId="5" xfId="0" applyNumberFormat="1" applyFont="1" applyFill="1" applyBorder="1" applyAlignment="1">
      <alignment horizontal="center" vertical="center"/>
    </xf>
    <xf numFmtId="164" fontId="64" fillId="29" borderId="0" xfId="0" applyNumberFormat="1" applyFont="1" applyFill="1" applyAlignment="1">
      <alignment horizontal="center" vertical="center"/>
    </xf>
    <xf numFmtId="0" fontId="47" fillId="20" borderId="0" xfId="0" applyFont="1" applyFill="1" applyAlignment="1">
      <alignment horizontal="left" vertical="center"/>
    </xf>
    <xf numFmtId="0" fontId="50" fillId="0" borderId="0" xfId="0" applyFont="1"/>
    <xf numFmtId="0" fontId="1" fillId="0" borderId="0" xfId="0" applyFont="1" applyAlignment="1">
      <alignment vertical="center"/>
    </xf>
    <xf numFmtId="0" fontId="66" fillId="0" borderId="0" xfId="0" applyFont="1"/>
    <xf numFmtId="0" fontId="66" fillId="0" borderId="0" xfId="0" applyFont="1" applyAlignment="1">
      <alignment vertical="center"/>
    </xf>
    <xf numFmtId="0" fontId="66" fillId="21" borderId="0" xfId="0" applyFont="1" applyFill="1"/>
    <xf numFmtId="0" fontId="67" fillId="0" borderId="0" xfId="0" applyFont="1" applyAlignment="1">
      <alignment vertical="center"/>
    </xf>
    <xf numFmtId="164" fontId="67" fillId="0" borderId="0" xfId="0" applyNumberFormat="1" applyFont="1" applyAlignment="1">
      <alignment horizontal="center" vertical="center"/>
    </xf>
    <xf numFmtId="164" fontId="67" fillId="0" borderId="0" xfId="0" quotePrefix="1" applyNumberFormat="1" applyFont="1" applyAlignment="1">
      <alignment horizontal="left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/>
    </xf>
    <xf numFmtId="0" fontId="0" fillId="0" borderId="5" xfId="0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1" fontId="67" fillId="0" borderId="0" xfId="0" applyNumberFormat="1" applyFont="1" applyAlignment="1">
      <alignment horizontal="center" vertical="center"/>
    </xf>
    <xf numFmtId="164" fontId="15" fillId="0" borderId="16" xfId="0" applyNumberFormat="1" applyFont="1" applyBorder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164" fontId="15" fillId="0" borderId="5" xfId="0" applyNumberFormat="1" applyFont="1" applyBorder="1" applyAlignment="1">
      <alignment horizontal="center" vertical="center" wrapText="1"/>
    </xf>
    <xf numFmtId="0" fontId="4" fillId="21" borderId="0" xfId="6" applyFont="1" applyFill="1" applyAlignment="1">
      <alignment vertical="center"/>
    </xf>
    <xf numFmtId="0" fontId="56" fillId="21" borderId="0" xfId="6" applyFont="1" applyFill="1" applyAlignment="1">
      <alignment horizontal="center" vertical="center"/>
    </xf>
    <xf numFmtId="0" fontId="55" fillId="21" borderId="0" xfId="5" applyFill="1" applyAlignment="1">
      <alignment vertical="center"/>
    </xf>
    <xf numFmtId="0" fontId="3" fillId="21" borderId="1" xfId="0" applyFont="1" applyFill="1" applyBorder="1" applyAlignment="1">
      <alignment horizontal="center"/>
    </xf>
    <xf numFmtId="0" fontId="3" fillId="21" borderId="1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1" xfId="0" applyFont="1" applyBorder="1" applyAlignment="1">
      <alignment horizontal="center"/>
    </xf>
    <xf numFmtId="0" fontId="15" fillId="9" borderId="121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9" borderId="11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8">
    <cellStyle name="2x indented GHG Textfiels" xfId="20" xr:uid="{CA242529-3BB7-42BB-8A06-8CDD2A9B7170}"/>
    <cellStyle name="Accent1" xfId="1" builtinId="29"/>
    <cellStyle name="Calculation" xfId="4" builtinId="22"/>
    <cellStyle name="Comma [0] 2" xfId="35" xr:uid="{8F745E6D-1637-4B03-BF3A-9BBA6BFF74AF}"/>
    <cellStyle name="Comma 2" xfId="15" xr:uid="{8EAB90B5-DA25-4C48-A66A-D14A2BCBB95E}"/>
    <cellStyle name="Comma 2 2" xfId="16" xr:uid="{C3D1F38D-4B80-4E61-B983-0467EBCD118F}"/>
    <cellStyle name="Comma 2 2 2" xfId="19" xr:uid="{CB3C5580-3555-450A-87C5-BE87F31B8FA2}"/>
    <cellStyle name="Comma 2 3" xfId="18" xr:uid="{909C6C48-0409-438D-A962-F9567CBAA46B}"/>
    <cellStyle name="Comma 2 4" xfId="22" xr:uid="{5E3619F9-C426-4A61-9193-26D5C538EF8B}"/>
    <cellStyle name="Comma 3" xfId="17" xr:uid="{22B30534-93D4-457E-AC12-0447548E19A1}"/>
    <cellStyle name="Comma 3 2" xfId="29" xr:uid="{54A2E104-828F-43F0-AB23-FCF584776DA0}"/>
    <cellStyle name="Comma 4" xfId="21" xr:uid="{D339EC9D-986B-4616-951A-EAAAE81D8A03}"/>
    <cellStyle name="Comma 4 2" xfId="27" xr:uid="{444CCBCA-A22A-4D7A-8C7C-C849D99697D4}"/>
    <cellStyle name="Comma 5" xfId="34" xr:uid="{E513827A-BDE3-4376-99D1-27A487A49E7D}"/>
    <cellStyle name="Comma 6" xfId="37" xr:uid="{132724FF-8831-4BD3-88E7-BA932E176C4F}"/>
    <cellStyle name="Comma 7" xfId="25" xr:uid="{949ADD8F-5EEE-457C-8CF0-86D509407D68}"/>
    <cellStyle name="Currency [0] 2" xfId="33" xr:uid="{9A2E4950-14DE-4C26-8980-7E3C521000FA}"/>
    <cellStyle name="Currency 2" xfId="32" xr:uid="{2828E909-4C0A-48DB-99E4-F898D150BF37}"/>
    <cellStyle name="Currency 3" xfId="36" xr:uid="{F5CF0B95-ED6F-4B9B-B0CF-F324DB034E05}"/>
    <cellStyle name="Good" xfId="3" builtinId="26"/>
    <cellStyle name="Hyperlink" xfId="5" builtinId="8"/>
    <cellStyle name="Hyperlink 2" xfId="28" xr:uid="{A1E283BF-B6C5-4F2C-9C75-EA4E5A8E913D}"/>
    <cellStyle name="Hyperlink 3" xfId="31" xr:uid="{AEEB6768-3107-4D47-B669-37D6427D9A37}"/>
    <cellStyle name="Normal" xfId="0" builtinId="0"/>
    <cellStyle name="Normal 10" xfId="8" xr:uid="{4C671E58-F0B1-48D4-BD8A-E4C5F735094E}"/>
    <cellStyle name="Normal 2" xfId="6" xr:uid="{3D1F24A5-7B62-4933-90AC-B7DE3913179A}"/>
    <cellStyle name="Normal 2 2" xfId="30" xr:uid="{B3D8E507-478A-4FAD-9B6A-454393B4D37B}"/>
    <cellStyle name="Normal 3" xfId="10" xr:uid="{3A5DCF80-BC8D-49C1-B4F6-BDDD1028664B}"/>
    <cellStyle name="Normal 3 2" xfId="26" xr:uid="{74A0EE91-F508-49E0-870A-B89490DBAF31}"/>
    <cellStyle name="Normal 4" xfId="23" xr:uid="{8B05D094-01C3-4493-898A-5217C62DFB9B}"/>
    <cellStyle name="Normal 5" xfId="12" xr:uid="{74CEF3ED-0D60-47C8-B1B4-1A49024E2AD9}"/>
    <cellStyle name="Normal 5 2 2" xfId="13" xr:uid="{3ACC3B69-92B6-474A-BC03-8602E10CB9DB}"/>
    <cellStyle name="Normal_2000balx" xfId="7" xr:uid="{EFD0CB67-65B2-4C54-B075-572C00869A7E}"/>
    <cellStyle name="Normale_Scen_UC_IND-StrucConst" xfId="9" xr:uid="{F7F83E46-EBD5-4CAB-9F34-C6097ED8BD9F}"/>
    <cellStyle name="Percent" xfId="2" builtinId="5"/>
    <cellStyle name="Percent 2" xfId="11" xr:uid="{A71DCDAC-074E-4012-92BF-C1020F72F4B1}"/>
    <cellStyle name="Percent 3" xfId="14" xr:uid="{FB47DF39-E1AE-4A7C-976B-577886D4D5B4}"/>
    <cellStyle name="Percent 4" xfId="24" xr:uid="{78457F1F-BD00-41D0-B0AB-69744DCDB8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'SEAI-AEA_BioData'!$A$16</c:f>
              <c:strCache>
                <c:ptCount val="1"/>
                <c:pt idx="0">
                  <c:v>Table A. 4: Medium supply/reference demand</c:v>
                </c:pt>
              </c:strCache>
            </c:strRef>
          </c:tx>
          <c:marker>
            <c:symbol val="none"/>
          </c:marker>
          <c:cat>
            <c:numRef>
              <c:f>'SEAI-AEA_BioData'!$J$38:$N$38</c:f>
              <c:numCache>
                <c:formatCode>General</c:formatCode>
                <c:ptCount val="5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</c:numCache>
            </c:numRef>
          </c:cat>
          <c:val>
            <c:numRef>
              <c:f>'SEAI-AEA_BioData'!$J$23:$N$23</c:f>
              <c:numCache>
                <c:formatCode>0.0</c:formatCode>
                <c:ptCount val="5"/>
                <c:pt idx="0">
                  <c:v>18.606095347281933</c:v>
                </c:pt>
                <c:pt idx="1">
                  <c:v>18.176172733352441</c:v>
                </c:pt>
                <c:pt idx="2">
                  <c:v>17.579057991783699</c:v>
                </c:pt>
                <c:pt idx="3">
                  <c:v>16.599789815610968</c:v>
                </c:pt>
                <c:pt idx="4">
                  <c:v>15.883252125728479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E2-4804-A363-2C5EADDCE506}"/>
            </c:ext>
          </c:extLst>
        </c:ser>
        <c:ser>
          <c:idx val="1"/>
          <c:order val="1"/>
          <c:tx>
            <c:strRef>
              <c:f>'SEAI-AEA_BioData'!$A$48</c:f>
              <c:strCache>
                <c:ptCount val="1"/>
                <c:pt idx="0">
                  <c:v>Table A. 7: Ambitious supply/high demand</c:v>
                </c:pt>
              </c:strCache>
            </c:strRef>
          </c:tx>
          <c:marker>
            <c:symbol val="none"/>
          </c:marker>
          <c:cat>
            <c:numRef>
              <c:f>'SEAI-AEA_BioData'!$J$38:$N$38</c:f>
              <c:numCache>
                <c:formatCode>General</c:formatCode>
                <c:ptCount val="5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</c:numCache>
            </c:numRef>
          </c:cat>
          <c:val>
            <c:numRef>
              <c:f>'SEAI-AEA_BioData'!$J$55:$N$55</c:f>
              <c:numCache>
                <c:formatCode>0.0</c:formatCode>
                <c:ptCount val="5"/>
                <c:pt idx="0">
                  <c:v>18.606095347281933</c:v>
                </c:pt>
                <c:pt idx="1">
                  <c:v>20.636285468615647</c:v>
                </c:pt>
                <c:pt idx="2">
                  <c:v>22.714244769274863</c:v>
                </c:pt>
                <c:pt idx="3">
                  <c:v>25.174357504538072</c:v>
                </c:pt>
                <c:pt idx="4">
                  <c:v>28.757045953950509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E2-4804-A363-2C5EADDCE506}"/>
            </c:ext>
          </c:extLst>
        </c:ser>
        <c:ser>
          <c:idx val="2"/>
          <c:order val="2"/>
          <c:tx>
            <c:strRef>
              <c:f>'SEAI-AEA_BioData'!$A$26</c:f>
              <c:strCache>
                <c:ptCount val="1"/>
                <c:pt idx="0">
                  <c:v>Table A. 5: Ambitious supply/reference demand</c:v>
                </c:pt>
              </c:strCache>
            </c:strRef>
          </c:tx>
          <c:marker>
            <c:symbol val="none"/>
          </c:marker>
          <c:cat>
            <c:numRef>
              <c:f>'SEAI-AEA_BioData'!$J$38:$N$38</c:f>
              <c:numCache>
                <c:formatCode>General</c:formatCode>
                <c:ptCount val="5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</c:numCache>
            </c:numRef>
          </c:cat>
          <c:val>
            <c:numRef>
              <c:f>'SEAI-AEA_BioData'!$J$33:$N$33</c:f>
              <c:numCache>
                <c:formatCode>0.0</c:formatCode>
                <c:ptCount val="5"/>
                <c:pt idx="0">
                  <c:v>18.606095347281933</c:v>
                </c:pt>
                <c:pt idx="1">
                  <c:v>18.916595012897677</c:v>
                </c:pt>
                <c:pt idx="2">
                  <c:v>19.083787140536923</c:v>
                </c:pt>
                <c:pt idx="3">
                  <c:v>18.916595012897677</c:v>
                </c:pt>
                <c:pt idx="4">
                  <c:v>19.131556319862423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E2-4804-A363-2C5EADDCE506}"/>
            </c:ext>
          </c:extLst>
        </c:ser>
        <c:ser>
          <c:idx val="3"/>
          <c:order val="3"/>
          <c:tx>
            <c:strRef>
              <c:f>'SEAI-AEA_BioData'!$A$37</c:f>
              <c:strCache>
                <c:ptCount val="1"/>
                <c:pt idx="0">
                  <c:v>Table A. 6: Medium supply/high demand</c:v>
                </c:pt>
              </c:strCache>
            </c:strRef>
          </c:tx>
          <c:marker>
            <c:symbol val="none"/>
          </c:marker>
          <c:cat>
            <c:numRef>
              <c:f>'SEAI-AEA_BioData'!$J$38:$N$38</c:f>
              <c:numCache>
                <c:formatCode>General</c:formatCode>
                <c:ptCount val="5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</c:numCache>
            </c:numRef>
          </c:cat>
          <c:val>
            <c:numRef>
              <c:f>'SEAI-AEA_BioData'!$J$44:$N$44</c:f>
              <c:numCache>
                <c:formatCode>0.0</c:formatCode>
                <c:ptCount val="5"/>
                <c:pt idx="0">
                  <c:v>18.606095347281933</c:v>
                </c:pt>
                <c:pt idx="1">
                  <c:v>19.680901882105665</c:v>
                </c:pt>
                <c:pt idx="2">
                  <c:v>20.684054647941146</c:v>
                </c:pt>
                <c:pt idx="3">
                  <c:v>21.758861182764878</c:v>
                </c:pt>
                <c:pt idx="4">
                  <c:v>23.550205407471097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E2-4804-A363-2C5EADDCE506}"/>
            </c:ext>
          </c:extLst>
        </c:ser>
        <c:ser>
          <c:idx val="4"/>
          <c:order val="4"/>
          <c:tx>
            <c:strRef>
              <c:f>'SEAI-AEA_BioData'!$A$5</c:f>
              <c:strCache>
                <c:ptCount val="1"/>
                <c:pt idx="0">
                  <c:v>Table A. 3: Restricted supply/reference demand</c:v>
                </c:pt>
              </c:strCache>
            </c:strRef>
          </c:tx>
          <c:marker>
            <c:symbol val="none"/>
          </c:marker>
          <c:val>
            <c:numRef>
              <c:f>'SEAI-AEA_BioData'!$J$12:$N$12</c:f>
              <c:numCache>
                <c:formatCode>0.0</c:formatCode>
                <c:ptCount val="5"/>
                <c:pt idx="0">
                  <c:v>18.606095347281933</c:v>
                </c:pt>
                <c:pt idx="1">
                  <c:v>17.674596350434697</c:v>
                </c:pt>
                <c:pt idx="2">
                  <c:v>16.552020636285469</c:v>
                </c:pt>
                <c:pt idx="3">
                  <c:v>15.047291487532243</c:v>
                </c:pt>
                <c:pt idx="4">
                  <c:v>13.781408235406515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E2-4804-A363-2C5EADDCE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942080"/>
        <c:axId val="196956160"/>
      </c:lineChart>
      <c:catAx>
        <c:axId val="19694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6956160"/>
        <c:crosses val="autoZero"/>
        <c:auto val="1"/>
        <c:lblAlgn val="ctr"/>
        <c:lblOffset val="100"/>
        <c:noMultiLvlLbl val="0"/>
      </c:catAx>
      <c:valAx>
        <c:axId val="19695616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9694208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11150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7675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315686</xdr:colOff>
      <xdr:row>41</xdr:row>
      <xdr:rowOff>7675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7675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106100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30480</xdr:colOff>
          <xdr:row>3</xdr:row>
          <xdr:rowOff>0</xdr:rowOff>
        </xdr:to>
        <xdr:sp macro="" textlink="">
          <xdr:nvSpPr>
            <xdr:cNvPr id="45057" name="Drop Down 1" hidden="1">
              <a:extLst>
                <a:ext uri="{63B3BB69-23CF-44E3-9099-C40C66FF867C}">
                  <a14:compatExt spid="_x0000_s45057"/>
                </a:ext>
                <a:ext uri="{FF2B5EF4-FFF2-40B4-BE49-F238E27FC236}">
                  <a16:creationId xmlns:a16="http://schemas.microsoft.com/office/drawing/2014/main" id="{00000000-0008-0000-0100-000001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66</xdr:row>
      <xdr:rowOff>0</xdr:rowOff>
    </xdr:from>
    <xdr:to>
      <xdr:col>5</xdr:col>
      <xdr:colOff>464040</xdr:colOff>
      <xdr:row>82</xdr:row>
      <xdr:rowOff>139980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90A54C-E673-4F00-6F88-5143DD083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2373" y="12602308"/>
          <a:ext cx="5649872" cy="313587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66</xdr:row>
      <xdr:rowOff>1</xdr:rowOff>
    </xdr:from>
    <xdr:to>
      <xdr:col>10</xdr:col>
      <xdr:colOff>694505</xdr:colOff>
      <xdr:row>82</xdr:row>
      <xdr:rowOff>105834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F73FB3-6B48-2B00-11D4-10CE7D09D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4231" y="12602309"/>
          <a:ext cx="4512646" cy="3101730"/>
        </a:xfrm>
        <a:prstGeom prst="rect">
          <a:avLst/>
        </a:prstGeom>
      </xdr:spPr>
    </xdr:pic>
    <xdr:clientData/>
  </xdr:twoCellAnchor>
  <xdr:twoCellAnchor editAs="oneCell">
    <xdr:from>
      <xdr:col>1</xdr:col>
      <xdr:colOff>708269</xdr:colOff>
      <xdr:row>84</xdr:row>
      <xdr:rowOff>129930</xdr:rowOff>
    </xdr:from>
    <xdr:to>
      <xdr:col>6</xdr:col>
      <xdr:colOff>49341</xdr:colOff>
      <xdr:row>97</xdr:row>
      <xdr:rowOff>32562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A7FA52-11E5-3EC0-C9BB-A4DA00D66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1410" y="16102622"/>
          <a:ext cx="6562162" cy="2336799"/>
        </a:xfrm>
        <a:prstGeom prst="rect">
          <a:avLst/>
        </a:prstGeom>
      </xdr:spPr>
    </xdr:pic>
    <xdr:clientData/>
  </xdr:twoCellAnchor>
  <xdr:twoCellAnchor editAs="oneCell">
    <xdr:from>
      <xdr:col>2</xdr:col>
      <xdr:colOff>263122</xdr:colOff>
      <xdr:row>127</xdr:row>
      <xdr:rowOff>122116</xdr:rowOff>
    </xdr:from>
    <xdr:to>
      <xdr:col>8</xdr:col>
      <xdr:colOff>395942</xdr:colOff>
      <xdr:row>151</xdr:row>
      <xdr:rowOff>73269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4BC858-0AA9-3711-9A0F-500CDD586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494" y="24325385"/>
          <a:ext cx="8314551" cy="44449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272141</xdr:colOff>
      <xdr:row>74</xdr:row>
      <xdr:rowOff>108855</xdr:rowOff>
    </xdr:from>
    <xdr:to>
      <xdr:col>8</xdr:col>
      <xdr:colOff>922519</xdr:colOff>
      <xdr:row>99</xdr:row>
      <xdr:rowOff>159475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6855" y="14786426"/>
          <a:ext cx="4330657" cy="45901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84663</xdr:colOff>
      <xdr:row>3</xdr:row>
      <xdr:rowOff>10584</xdr:rowOff>
    </xdr:from>
    <xdr:to>
      <xdr:col>36</xdr:col>
      <xdr:colOff>201080</xdr:colOff>
      <xdr:row>19</xdr:row>
      <xdr:rowOff>191557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lyk, Olexandr" id="{7C4C8F66-ABE1-4B54-AB0B-7B0CD7FE4B47}" userId="Balyk, Olexandr" providerId="None"/>
  <person displayName="Bakytzhan Suleimenov" id="{8DC344A8-B605-4425-B9AE-CA9E273BB438}" userId="S::BSuleimenov@ucc.ie::f6970575-8acf-461c-bc66-0e999b6a9f6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5" dT="2024-08-19T12:19:07.80" personId="{8DC344A8-B605-4425-B9AE-CA9E273BB438}" id="{A395ADEB-EAA4-47F1-BF06-F5E93216F45B}">
    <text>Share of wood bio resources in CONCAWE report (medium scenario)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2" dT="2021-02-10T13:17:04.18" personId="{7C4C8F66-ABE1-4B54-AB0B-7B0CD7FE4B47}" id="{DF35ABC3-9BB5-47E6-9E75-DAC846139278}">
    <text>to make shares sum up to 1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4" dT="2021-02-12T11:30:44.74" personId="{7C4C8F66-ABE1-4B54-AB0B-7B0CD7FE4B47}" id="{826B8038-8340-4DCF-B1C7-9C31DF36714F}">
    <text>Barrel of Oil Equivalent</text>
  </threadedComment>
  <threadedComment ref="C10" dT="2021-02-12T11:38:47.97" personId="{7C4C8F66-ABE1-4B54-AB0B-7B0CD7FE4B47}" id="{A923A034-E220-4D43-8DAE-2D90CA0274C0}">
    <text>Average exchange rate in 2019, ECB</text>
  </threadedComment>
  <threadedComment ref="C11" dT="2021-02-12T11:45:06.79" personId="{7C4C8F66-ABE1-4B54-AB0B-7B0CD7FE4B47}" id="{7CE7B728-8236-4C08-BAA6-2C879B05AD65}">
    <text>Average exchange rate in 2018, ECB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9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C7F3-E799-4282-82F0-A564D9B9FE0C}">
  <sheetPr codeName="Sheet16"/>
  <dimension ref="A1:Z99"/>
  <sheetViews>
    <sheetView showGridLines="0" zoomScaleNormal="100" workbookViewId="0">
      <selection activeCell="B27" sqref="B27:D27"/>
    </sheetView>
  </sheetViews>
  <sheetFormatPr defaultColWidth="8.77734375" defaultRowHeight="14.4"/>
  <cols>
    <col min="1" max="4" width="21.77734375" customWidth="1"/>
    <col min="5" max="6" width="14.21875" customWidth="1"/>
    <col min="7" max="7" width="12.21875" customWidth="1"/>
    <col min="8" max="10" width="8.21875" customWidth="1"/>
    <col min="11" max="11" width="9.77734375" customWidth="1"/>
    <col min="12" max="12" width="8.21875" customWidth="1"/>
    <col min="13" max="13" width="10" customWidth="1"/>
    <col min="14" max="14" width="11.21875" customWidth="1"/>
    <col min="15" max="15" width="13.21875" customWidth="1"/>
  </cols>
  <sheetData>
    <row r="1" spans="1:26">
      <c r="A1" s="271"/>
      <c r="B1" s="271"/>
      <c r="C1" s="271"/>
      <c r="D1" s="271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</row>
    <row r="2" spans="1:26">
      <c r="A2" s="271"/>
      <c r="B2" s="271"/>
      <c r="C2" s="271"/>
      <c r="D2" s="271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</row>
    <row r="3" spans="1:26">
      <c r="A3" s="271"/>
      <c r="B3" s="271"/>
      <c r="C3" s="271"/>
      <c r="D3" s="271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</row>
    <row r="4" spans="1:26">
      <c r="A4" s="271"/>
      <c r="B4" s="271"/>
      <c r="C4" s="271"/>
      <c r="D4" s="271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</row>
    <row r="5" spans="1:26">
      <c r="A5" s="271"/>
      <c r="B5" s="271"/>
      <c r="C5" s="271"/>
      <c r="D5" s="271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</row>
    <row r="6" spans="1:26">
      <c r="A6" s="271"/>
      <c r="B6" s="271"/>
      <c r="C6" s="271"/>
      <c r="D6" s="271"/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</row>
    <row r="7" spans="1:26">
      <c r="A7" s="271"/>
      <c r="B7" s="271"/>
      <c r="C7" s="271"/>
      <c r="D7" s="271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</row>
    <row r="8" spans="1:26">
      <c r="A8" s="271"/>
      <c r="B8" s="271"/>
      <c r="C8" s="271"/>
      <c r="D8" s="271"/>
      <c r="E8" s="272"/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</row>
    <row r="9" spans="1:26">
      <c r="A9" s="271"/>
      <c r="B9" s="271"/>
      <c r="C9" s="271"/>
      <c r="D9" s="271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</row>
    <row r="10" spans="1:26">
      <c r="A10" s="271"/>
      <c r="B10" s="271"/>
      <c r="C10" s="271"/>
      <c r="D10" s="271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</row>
    <row r="11" spans="1:26">
      <c r="A11" s="271"/>
      <c r="B11" s="271"/>
      <c r="C11" s="271"/>
      <c r="D11" s="271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</row>
    <row r="12" spans="1:26">
      <c r="A12" s="271"/>
      <c r="B12" s="271"/>
      <c r="C12" s="271"/>
      <c r="D12" s="271"/>
      <c r="E12" s="272"/>
      <c r="F12" s="272"/>
      <c r="G12" s="272"/>
      <c r="H12" s="272"/>
      <c r="I12" s="272"/>
      <c r="J12" s="272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</row>
    <row r="13" spans="1:26">
      <c r="A13" s="271"/>
      <c r="B13" s="271"/>
      <c r="C13" s="271"/>
      <c r="D13" s="271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272"/>
      <c r="W13" s="272"/>
      <c r="X13" s="272"/>
      <c r="Y13" s="272"/>
      <c r="Z13" s="272"/>
    </row>
    <row r="14" spans="1:26">
      <c r="A14" s="271"/>
      <c r="B14" s="271"/>
      <c r="C14" s="271"/>
      <c r="D14" s="271"/>
      <c r="E14" s="272"/>
      <c r="F14" s="272"/>
      <c r="G14" s="272"/>
      <c r="H14" s="272"/>
      <c r="I14" s="272"/>
      <c r="J14" s="272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  <c r="V14" s="272"/>
      <c r="W14" s="272"/>
      <c r="X14" s="272"/>
      <c r="Y14" s="272"/>
      <c r="Z14" s="272"/>
    </row>
    <row r="15" spans="1:26">
      <c r="A15" s="271"/>
      <c r="B15" s="271"/>
      <c r="C15" s="271"/>
      <c r="D15" s="271"/>
      <c r="E15" s="272"/>
      <c r="F15" s="272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</row>
    <row r="16" spans="1:26" ht="102.75" customHeight="1">
      <c r="A16" s="481" t="s">
        <v>578</v>
      </c>
      <c r="B16" s="481"/>
      <c r="C16" s="481"/>
      <c r="D16" s="481"/>
      <c r="E16" s="273"/>
      <c r="F16" s="273"/>
      <c r="G16" s="274"/>
      <c r="H16" s="274"/>
      <c r="I16" s="274"/>
      <c r="J16" s="274"/>
      <c r="K16" s="274"/>
      <c r="L16" s="274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</row>
    <row r="17" spans="1:26" ht="17.25" customHeight="1">
      <c r="A17" s="275"/>
      <c r="B17" s="275"/>
      <c r="C17" s="275"/>
      <c r="D17" s="275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2"/>
      <c r="Z17" s="272"/>
    </row>
    <row r="18" spans="1:26" ht="17.25" customHeight="1">
      <c r="A18" s="275"/>
      <c r="B18" s="275"/>
      <c r="C18" s="275"/>
      <c r="D18" s="275"/>
      <c r="E18" s="276"/>
      <c r="F18" s="276"/>
      <c r="G18" s="277"/>
      <c r="H18" s="277"/>
      <c r="I18" s="277"/>
      <c r="J18" s="277"/>
      <c r="K18" s="277"/>
      <c r="L18" s="277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</row>
    <row r="19" spans="1:26" ht="17.25" customHeight="1">
      <c r="A19" s="278" t="s">
        <v>579</v>
      </c>
      <c r="B19" s="480" t="s">
        <v>594</v>
      </c>
      <c r="C19" s="480"/>
      <c r="D19" s="480"/>
      <c r="E19" s="279"/>
      <c r="F19" s="279"/>
      <c r="G19" s="280"/>
      <c r="H19" s="280"/>
      <c r="I19" s="280"/>
      <c r="J19" s="280"/>
      <c r="K19" s="280"/>
      <c r="L19" s="280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2"/>
      <c r="Z19" s="272"/>
    </row>
    <row r="20" spans="1:26" ht="17.25" customHeight="1">
      <c r="A20" s="278" t="s">
        <v>580</v>
      </c>
      <c r="B20" s="480" t="s">
        <v>593</v>
      </c>
      <c r="C20" s="480"/>
      <c r="D20" s="480"/>
      <c r="E20" s="279"/>
      <c r="F20" s="279"/>
      <c r="G20" s="280"/>
      <c r="H20" s="280"/>
      <c r="I20" s="280"/>
      <c r="J20" s="280"/>
      <c r="K20" s="280"/>
      <c r="L20" s="280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2"/>
      <c r="Z20" s="272"/>
    </row>
    <row r="21" spans="1:26" ht="17.25" customHeight="1">
      <c r="A21" s="278" t="s">
        <v>581</v>
      </c>
      <c r="B21" s="281" t="s">
        <v>595</v>
      </c>
      <c r="C21" s="281"/>
      <c r="D21" s="281"/>
      <c r="E21" s="279"/>
      <c r="F21" s="279"/>
      <c r="G21" s="280"/>
      <c r="H21" s="280"/>
      <c r="I21" s="280"/>
      <c r="J21" s="280"/>
      <c r="K21" s="280"/>
      <c r="L21" s="280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2"/>
      <c r="Z21" s="272"/>
    </row>
    <row r="22" spans="1:26" ht="17.25" customHeight="1">
      <c r="A22" s="278"/>
      <c r="B22" s="281"/>
      <c r="C22" s="281"/>
      <c r="D22" s="281"/>
      <c r="E22" s="279"/>
      <c r="F22" s="279"/>
      <c r="G22" s="280"/>
      <c r="H22" s="280"/>
      <c r="I22" s="280"/>
      <c r="J22" s="280"/>
      <c r="K22" s="280"/>
      <c r="L22" s="280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2"/>
      <c r="Z22" s="272"/>
    </row>
    <row r="23" spans="1:26" ht="17.25" customHeight="1">
      <c r="A23" s="278" t="s">
        <v>582</v>
      </c>
      <c r="B23" s="480" t="s">
        <v>591</v>
      </c>
      <c r="C23" s="480"/>
      <c r="D23" s="480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</row>
    <row r="24" spans="1:26" ht="17.25" customHeight="1">
      <c r="A24" s="278"/>
      <c r="B24" s="281" t="s">
        <v>592</v>
      </c>
      <c r="C24" s="281"/>
      <c r="D24" s="281"/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2"/>
      <c r="Z24" s="272"/>
    </row>
    <row r="25" spans="1:26" ht="17.25" customHeight="1">
      <c r="A25" s="278"/>
      <c r="B25" s="281" t="s">
        <v>590</v>
      </c>
      <c r="C25" s="281"/>
      <c r="D25" s="281"/>
      <c r="E25" s="272"/>
      <c r="F25" s="272"/>
      <c r="G25" s="272"/>
      <c r="H25" s="272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</row>
    <row r="26" spans="1:26" ht="17.25" customHeight="1">
      <c r="A26" s="278" t="s">
        <v>583</v>
      </c>
      <c r="B26" s="480" t="s">
        <v>659</v>
      </c>
      <c r="C26" s="480"/>
      <c r="D26" s="480"/>
      <c r="E26" s="272"/>
      <c r="F26" s="272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</row>
    <row r="27" spans="1:26" ht="17.25" customHeight="1">
      <c r="A27" s="278"/>
      <c r="B27" s="480" t="s">
        <v>660</v>
      </c>
      <c r="C27" s="480"/>
      <c r="D27" s="480"/>
      <c r="E27" s="272"/>
      <c r="F27" s="272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</row>
    <row r="28" spans="1:26" ht="17.25" customHeight="1">
      <c r="A28" s="278"/>
      <c r="B28" s="281"/>
      <c r="C28" s="281"/>
      <c r="D28" s="281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</row>
    <row r="29" spans="1:26" ht="17.25" customHeight="1">
      <c r="A29" s="278" t="s">
        <v>584</v>
      </c>
      <c r="B29" s="282">
        <v>1</v>
      </c>
      <c r="C29" s="281"/>
      <c r="D29" s="281"/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</row>
    <row r="30" spans="1:26" ht="17.25" customHeight="1">
      <c r="A30" s="278" t="s">
        <v>585</v>
      </c>
      <c r="B30" s="482" t="s">
        <v>586</v>
      </c>
      <c r="C30" s="480"/>
      <c r="D30" s="480"/>
      <c r="E30" s="283"/>
      <c r="F30" s="283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</row>
    <row r="31" spans="1:26" ht="17.25" customHeight="1">
      <c r="A31" s="278" t="s">
        <v>587</v>
      </c>
      <c r="B31" s="480" t="s">
        <v>588</v>
      </c>
      <c r="C31" s="480"/>
      <c r="D31" s="480"/>
      <c r="E31" s="283"/>
      <c r="F31" s="283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</row>
    <row r="32" spans="1:26" ht="17.25" customHeight="1">
      <c r="A32" s="284"/>
      <c r="B32" s="285" t="s">
        <v>589</v>
      </c>
      <c r="C32" s="284"/>
      <c r="D32" s="284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</row>
    <row r="33" spans="1:26">
      <c r="A33" s="271"/>
      <c r="B33" s="271"/>
      <c r="C33" s="271"/>
      <c r="D33" s="271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2"/>
      <c r="Y33" s="272"/>
      <c r="Z33" s="272"/>
    </row>
    <row r="34" spans="1:26">
      <c r="A34" s="271"/>
      <c r="B34" s="271"/>
      <c r="C34" s="271"/>
      <c r="D34" s="271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2"/>
      <c r="Z34" s="272"/>
    </row>
    <row r="35" spans="1:26">
      <c r="A35" s="271"/>
      <c r="B35" s="271"/>
      <c r="C35" s="271"/>
      <c r="D35" s="271"/>
      <c r="E35" s="272"/>
      <c r="F35" s="27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2"/>
      <c r="Y35" s="272"/>
      <c r="Z35" s="272"/>
    </row>
    <row r="36" spans="1:26">
      <c r="A36" s="271"/>
      <c r="B36" s="271"/>
      <c r="C36" s="271"/>
      <c r="D36" s="271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2"/>
      <c r="Z36" s="272"/>
    </row>
    <row r="37" spans="1:26">
      <c r="A37" s="271"/>
      <c r="B37" s="271"/>
      <c r="C37" s="271"/>
      <c r="D37" s="271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  <c r="R37" s="272"/>
      <c r="S37" s="272"/>
      <c r="T37" s="272"/>
      <c r="U37" s="272"/>
      <c r="V37" s="272"/>
      <c r="W37" s="272"/>
      <c r="X37" s="272"/>
      <c r="Y37" s="272"/>
      <c r="Z37" s="272"/>
    </row>
    <row r="38" spans="1:26">
      <c r="A38" s="271"/>
      <c r="B38" s="271"/>
      <c r="C38" s="271"/>
      <c r="D38" s="271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</row>
    <row r="39" spans="1:26">
      <c r="A39" s="271"/>
      <c r="B39" s="271"/>
      <c r="C39" s="271"/>
      <c r="D39" s="271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</row>
    <row r="40" spans="1:26">
      <c r="A40" s="271"/>
      <c r="B40" s="271"/>
      <c r="C40" s="271"/>
      <c r="D40" s="271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</row>
    <row r="41" spans="1:26">
      <c r="A41" s="271"/>
      <c r="B41" s="271"/>
      <c r="C41" s="271"/>
      <c r="D41" s="271"/>
      <c r="E41" s="272"/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</row>
    <row r="42" spans="1:26">
      <c r="A42" s="271"/>
      <c r="B42" s="271"/>
      <c r="C42" s="271"/>
      <c r="D42" s="271"/>
      <c r="E42" s="272"/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</row>
    <row r="43" spans="1:26">
      <c r="A43" s="272"/>
      <c r="B43" s="272"/>
      <c r="C43" s="272"/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272"/>
      <c r="W43" s="272"/>
      <c r="X43" s="272"/>
      <c r="Y43" s="272"/>
      <c r="Z43" s="272"/>
    </row>
    <row r="44" spans="1:26">
      <c r="A44" s="272"/>
      <c r="B44" s="272"/>
      <c r="C44" s="272"/>
      <c r="D44" s="272"/>
      <c r="E44" s="272"/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  <c r="V44" s="272"/>
      <c r="W44" s="272"/>
      <c r="X44" s="272"/>
      <c r="Y44" s="272"/>
      <c r="Z44" s="272"/>
    </row>
    <row r="45" spans="1:26">
      <c r="A45" s="272"/>
      <c r="B45" s="272"/>
      <c r="C45" s="272"/>
      <c r="D45" s="272"/>
      <c r="E45" s="272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</row>
    <row r="46" spans="1:26">
      <c r="A46" s="272"/>
      <c r="B46" s="272"/>
      <c r="C46" s="272"/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272"/>
      <c r="W46" s="272"/>
      <c r="X46" s="272"/>
      <c r="Y46" s="272"/>
      <c r="Z46" s="272"/>
    </row>
    <row r="47" spans="1:26">
      <c r="A47" s="272"/>
      <c r="B47" s="272"/>
      <c r="C47" s="272"/>
      <c r="D47" s="272"/>
      <c r="E47" s="272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2"/>
      <c r="Z47" s="272"/>
    </row>
    <row r="48" spans="1:26">
      <c r="A48" s="272"/>
      <c r="B48" s="272"/>
      <c r="C48" s="272"/>
      <c r="D48" s="272"/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2"/>
      <c r="X48" s="272"/>
      <c r="Y48" s="272"/>
      <c r="Z48" s="272"/>
    </row>
    <row r="49" spans="1:26">
      <c r="A49" s="272"/>
      <c r="B49" s="272"/>
      <c r="C49" s="272"/>
      <c r="D49" s="272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  <c r="V49" s="272"/>
      <c r="W49" s="272"/>
      <c r="X49" s="272"/>
      <c r="Y49" s="272"/>
      <c r="Z49" s="272"/>
    </row>
    <row r="50" spans="1:26">
      <c r="A50" s="272"/>
      <c r="B50" s="272"/>
      <c r="C50" s="272"/>
      <c r="D50" s="272"/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  <c r="V50" s="272"/>
      <c r="W50" s="272"/>
      <c r="X50" s="272"/>
      <c r="Y50" s="272"/>
      <c r="Z50" s="272"/>
    </row>
    <row r="51" spans="1:26">
      <c r="A51" s="272"/>
      <c r="B51" s="272"/>
      <c r="C51" s="272"/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</row>
    <row r="52" spans="1:26">
      <c r="A52" s="272"/>
      <c r="B52" s="272"/>
      <c r="C52" s="272"/>
      <c r="D52" s="272"/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</row>
    <row r="53" spans="1:26">
      <c r="A53" s="272"/>
      <c r="B53" s="272"/>
      <c r="C53" s="272"/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</row>
    <row r="54" spans="1:26">
      <c r="A54" s="272"/>
      <c r="B54" s="272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2"/>
      <c r="X54" s="272"/>
      <c r="Y54" s="272"/>
      <c r="Z54" s="272"/>
    </row>
    <row r="55" spans="1:26">
      <c r="A55" s="272"/>
      <c r="B55" s="272"/>
      <c r="C55" s="272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/>
      <c r="Z55" s="272"/>
    </row>
    <row r="56" spans="1:26">
      <c r="A56" s="272"/>
      <c r="B56" s="272"/>
      <c r="C56" s="272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72"/>
      <c r="V56" s="272"/>
      <c r="W56" s="272"/>
      <c r="X56" s="272"/>
      <c r="Y56" s="272"/>
      <c r="Z56" s="272"/>
    </row>
    <row r="57" spans="1:26">
      <c r="A57" s="272"/>
      <c r="B57" s="272"/>
      <c r="C57" s="272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272"/>
      <c r="X57" s="272"/>
      <c r="Y57" s="272"/>
      <c r="Z57" s="272"/>
    </row>
    <row r="58" spans="1:26">
      <c r="A58" s="272"/>
      <c r="B58" s="272"/>
      <c r="C58" s="272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272"/>
      <c r="X58" s="272"/>
      <c r="Y58" s="272"/>
      <c r="Z58" s="272"/>
    </row>
    <row r="59" spans="1:26">
      <c r="A59" s="272"/>
      <c r="B59" s="272"/>
      <c r="C59" s="272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  <c r="X59" s="272"/>
      <c r="Y59" s="272"/>
      <c r="Z59" s="272"/>
    </row>
    <row r="60" spans="1:26">
      <c r="A60" s="272"/>
      <c r="B60" s="272"/>
      <c r="C60" s="272"/>
      <c r="D60" s="272"/>
      <c r="E60" s="272"/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2"/>
      <c r="Q60" s="272"/>
      <c r="R60" s="272"/>
      <c r="S60" s="272"/>
      <c r="T60" s="272"/>
      <c r="U60" s="272"/>
      <c r="V60" s="272"/>
      <c r="W60" s="272"/>
      <c r="X60" s="272"/>
      <c r="Y60" s="272"/>
      <c r="Z60" s="272"/>
    </row>
    <row r="61" spans="1:26">
      <c r="A61" s="272"/>
      <c r="B61" s="272"/>
      <c r="C61" s="272"/>
      <c r="D61" s="272"/>
      <c r="E61" s="272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</row>
    <row r="62" spans="1:26">
      <c r="A62" s="272"/>
      <c r="B62" s="272"/>
      <c r="C62" s="272"/>
      <c r="D62" s="272"/>
      <c r="E62" s="272"/>
      <c r="F62" s="272"/>
      <c r="G62" s="272"/>
      <c r="H62" s="272"/>
      <c r="I62" s="272"/>
      <c r="J62" s="272"/>
      <c r="K62" s="272"/>
      <c r="L62" s="272"/>
      <c r="M62" s="272"/>
      <c r="N62" s="272"/>
      <c r="O62" s="272"/>
      <c r="P62" s="272"/>
      <c r="Q62" s="272"/>
      <c r="R62" s="272"/>
      <c r="S62" s="272"/>
      <c r="T62" s="272"/>
      <c r="U62" s="272"/>
      <c r="V62" s="272"/>
      <c r="W62" s="272"/>
      <c r="X62" s="272"/>
      <c r="Y62" s="272"/>
      <c r="Z62" s="272"/>
    </row>
    <row r="63" spans="1:26">
      <c r="A63" s="272"/>
      <c r="B63" s="272"/>
      <c r="C63" s="272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2"/>
      <c r="P63" s="272"/>
      <c r="Q63" s="272"/>
      <c r="R63" s="272"/>
      <c r="S63" s="272"/>
      <c r="T63" s="272"/>
      <c r="U63" s="272"/>
      <c r="V63" s="272"/>
      <c r="W63" s="272"/>
      <c r="X63" s="272"/>
      <c r="Y63" s="272"/>
      <c r="Z63" s="272"/>
    </row>
    <row r="64" spans="1:26">
      <c r="A64" s="272"/>
      <c r="B64" s="272"/>
      <c r="C64" s="272"/>
      <c r="D64" s="272"/>
      <c r="E64" s="272"/>
      <c r="F64" s="272"/>
      <c r="G64" s="272"/>
      <c r="H64" s="272"/>
      <c r="I64" s="272"/>
      <c r="J64" s="272"/>
      <c r="K64" s="272"/>
      <c r="L64" s="272"/>
      <c r="M64" s="272"/>
      <c r="N64" s="272"/>
      <c r="O64" s="272"/>
      <c r="P64" s="272"/>
      <c r="Q64" s="272"/>
      <c r="R64" s="272"/>
      <c r="S64" s="272"/>
      <c r="T64" s="272"/>
      <c r="U64" s="272"/>
      <c r="V64" s="272"/>
      <c r="W64" s="272"/>
      <c r="X64" s="272"/>
      <c r="Y64" s="272"/>
      <c r="Z64" s="272"/>
    </row>
    <row r="65" spans="1:26">
      <c r="A65" s="272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2"/>
      <c r="R65" s="272"/>
      <c r="S65" s="272"/>
      <c r="T65" s="272"/>
      <c r="U65" s="272"/>
      <c r="V65" s="272"/>
      <c r="W65" s="272"/>
      <c r="X65" s="272"/>
      <c r="Y65" s="272"/>
      <c r="Z65" s="272"/>
    </row>
    <row r="66" spans="1:26">
      <c r="A66" s="272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2"/>
      <c r="R66" s="272"/>
      <c r="S66" s="272"/>
      <c r="T66" s="272"/>
      <c r="U66" s="272"/>
      <c r="V66" s="272"/>
      <c r="W66" s="272"/>
      <c r="X66" s="272"/>
      <c r="Y66" s="272"/>
      <c r="Z66" s="272"/>
    </row>
    <row r="67" spans="1:26">
      <c r="A67" s="272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2"/>
      <c r="T67" s="272"/>
      <c r="U67" s="272"/>
      <c r="V67" s="272"/>
      <c r="W67" s="272"/>
      <c r="X67" s="272"/>
      <c r="Y67" s="272"/>
      <c r="Z67" s="272"/>
    </row>
    <row r="68" spans="1:26">
      <c r="A68" s="272"/>
      <c r="B68" s="272"/>
      <c r="C68" s="272"/>
      <c r="D68" s="272"/>
      <c r="E68" s="272"/>
      <c r="F68" s="272"/>
      <c r="G68" s="272"/>
      <c r="H68" s="272"/>
      <c r="I68" s="272"/>
      <c r="J68" s="272"/>
      <c r="K68" s="272"/>
      <c r="L68" s="272"/>
      <c r="M68" s="272"/>
      <c r="N68" s="272"/>
      <c r="O68" s="272"/>
      <c r="P68" s="272"/>
      <c r="Q68" s="272"/>
      <c r="R68" s="272"/>
      <c r="S68" s="272"/>
      <c r="T68" s="272"/>
      <c r="U68" s="272"/>
      <c r="V68" s="272"/>
      <c r="W68" s="272"/>
      <c r="X68" s="272"/>
      <c r="Y68" s="272"/>
      <c r="Z68" s="272"/>
    </row>
    <row r="69" spans="1:26">
      <c r="A69" s="272"/>
      <c r="B69" s="272"/>
      <c r="C69" s="272"/>
      <c r="D69" s="272"/>
      <c r="E69" s="272"/>
      <c r="F69" s="272"/>
      <c r="G69" s="272"/>
      <c r="H69" s="272"/>
      <c r="I69" s="272"/>
      <c r="J69" s="272"/>
      <c r="K69" s="272"/>
      <c r="L69" s="272"/>
      <c r="M69" s="272"/>
      <c r="N69" s="272"/>
      <c r="O69" s="272"/>
      <c r="P69" s="272"/>
      <c r="Q69" s="272"/>
      <c r="R69" s="272"/>
      <c r="S69" s="272"/>
      <c r="T69" s="272"/>
      <c r="U69" s="272"/>
      <c r="V69" s="272"/>
      <c r="W69" s="272"/>
      <c r="X69" s="272"/>
      <c r="Y69" s="272"/>
      <c r="Z69" s="272"/>
    </row>
    <row r="70" spans="1:26">
      <c r="A70" s="272"/>
      <c r="B70" s="272"/>
      <c r="C70" s="272"/>
      <c r="D70" s="272"/>
      <c r="E70" s="272"/>
      <c r="F70" s="272"/>
      <c r="G70" s="272"/>
      <c r="H70" s="272"/>
      <c r="I70" s="272"/>
      <c r="J70" s="272"/>
      <c r="K70" s="272"/>
      <c r="L70" s="272"/>
      <c r="M70" s="272"/>
      <c r="N70" s="272"/>
      <c r="O70" s="272"/>
      <c r="P70" s="272"/>
      <c r="Q70" s="272"/>
      <c r="R70" s="272"/>
      <c r="S70" s="272"/>
      <c r="T70" s="272"/>
      <c r="U70" s="272"/>
      <c r="V70" s="272"/>
      <c r="W70" s="272"/>
      <c r="X70" s="272"/>
      <c r="Y70" s="272"/>
      <c r="Z70" s="272"/>
    </row>
    <row r="71" spans="1:26">
      <c r="A71" s="272"/>
      <c r="B71" s="272"/>
      <c r="C71" s="272"/>
      <c r="D71" s="272"/>
      <c r="E71" s="272"/>
      <c r="F71" s="272"/>
      <c r="G71" s="272"/>
      <c r="H71" s="272"/>
      <c r="I71" s="272"/>
      <c r="J71" s="272"/>
      <c r="K71" s="272"/>
      <c r="L71" s="272"/>
      <c r="M71" s="272"/>
      <c r="N71" s="272"/>
      <c r="O71" s="272"/>
      <c r="P71" s="272"/>
      <c r="Q71" s="272"/>
      <c r="R71" s="272"/>
      <c r="S71" s="272"/>
      <c r="T71" s="272"/>
      <c r="U71" s="272"/>
      <c r="V71" s="272"/>
      <c r="W71" s="272"/>
      <c r="X71" s="272"/>
      <c r="Y71" s="272"/>
      <c r="Z71" s="272"/>
    </row>
    <row r="72" spans="1:26">
      <c r="A72" s="272"/>
      <c r="B72" s="272"/>
      <c r="C72" s="272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2"/>
      <c r="P72" s="272"/>
      <c r="Q72" s="272"/>
      <c r="R72" s="272"/>
      <c r="S72" s="272"/>
      <c r="T72" s="272"/>
      <c r="U72" s="272"/>
      <c r="V72" s="272"/>
      <c r="W72" s="272"/>
      <c r="X72" s="272"/>
      <c r="Y72" s="272"/>
      <c r="Z72" s="272"/>
    </row>
    <row r="73" spans="1:26">
      <c r="A73" s="272"/>
      <c r="B73" s="272"/>
      <c r="C73" s="272"/>
      <c r="D73" s="272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72"/>
      <c r="X73" s="272"/>
      <c r="Y73" s="272"/>
      <c r="Z73" s="272"/>
    </row>
    <row r="74" spans="1:26">
      <c r="A74" s="272"/>
      <c r="B74" s="272"/>
      <c r="C74" s="272"/>
      <c r="D74" s="272"/>
      <c r="E74" s="272"/>
      <c r="F74" s="272"/>
      <c r="G74" s="272"/>
      <c r="H74" s="272"/>
      <c r="I74" s="272"/>
      <c r="J74" s="272"/>
      <c r="K74" s="272"/>
      <c r="L74" s="272"/>
      <c r="M74" s="272"/>
      <c r="N74" s="272"/>
      <c r="O74" s="272"/>
      <c r="P74" s="272"/>
      <c r="Q74" s="272"/>
      <c r="R74" s="272"/>
      <c r="S74" s="272"/>
      <c r="T74" s="272"/>
      <c r="U74" s="272"/>
      <c r="V74" s="272"/>
      <c r="W74" s="272"/>
      <c r="X74" s="272"/>
      <c r="Y74" s="272"/>
      <c r="Z74" s="272"/>
    </row>
    <row r="75" spans="1:26">
      <c r="A75" s="272"/>
      <c r="B75" s="272"/>
      <c r="C75" s="272"/>
      <c r="D75" s="272"/>
      <c r="E75" s="272"/>
      <c r="F75" s="272"/>
      <c r="G75" s="272"/>
      <c r="H75" s="272"/>
      <c r="I75" s="272"/>
      <c r="J75" s="272"/>
      <c r="K75" s="272"/>
      <c r="L75" s="272"/>
      <c r="M75" s="272"/>
      <c r="N75" s="272"/>
      <c r="O75" s="272"/>
      <c r="P75" s="272"/>
      <c r="Q75" s="272"/>
      <c r="R75" s="272"/>
      <c r="S75" s="272"/>
      <c r="T75" s="272"/>
      <c r="U75" s="272"/>
      <c r="V75" s="272"/>
      <c r="W75" s="272"/>
      <c r="X75" s="272"/>
      <c r="Y75" s="272"/>
      <c r="Z75" s="272"/>
    </row>
    <row r="76" spans="1:26">
      <c r="A76" s="272"/>
      <c r="B76" s="272"/>
      <c r="C76" s="272"/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2"/>
      <c r="P76" s="272"/>
      <c r="Q76" s="272"/>
      <c r="R76" s="272"/>
      <c r="S76" s="272"/>
      <c r="T76" s="272"/>
      <c r="U76" s="272"/>
      <c r="V76" s="272"/>
      <c r="W76" s="272"/>
      <c r="X76" s="272"/>
      <c r="Y76" s="272"/>
      <c r="Z76" s="272"/>
    </row>
    <row r="77" spans="1:26">
      <c r="A77" s="272"/>
      <c r="B77" s="272"/>
      <c r="C77" s="272"/>
      <c r="D77" s="272"/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O77" s="272"/>
      <c r="P77" s="272"/>
      <c r="Q77" s="272"/>
      <c r="R77" s="272"/>
      <c r="S77" s="272"/>
      <c r="T77" s="272"/>
      <c r="U77" s="272"/>
      <c r="V77" s="272"/>
      <c r="W77" s="272"/>
      <c r="X77" s="272"/>
      <c r="Y77" s="272"/>
      <c r="Z77" s="272"/>
    </row>
    <row r="78" spans="1:26">
      <c r="A78" s="272"/>
      <c r="B78" s="272"/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  <c r="Y78" s="272"/>
      <c r="Z78" s="272"/>
    </row>
    <row r="79" spans="1:26">
      <c r="A79" s="272"/>
      <c r="B79" s="272"/>
      <c r="C79" s="272"/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2"/>
      <c r="X79" s="272"/>
      <c r="Y79" s="272"/>
      <c r="Z79" s="272"/>
    </row>
    <row r="80" spans="1:26">
      <c r="A80" s="272"/>
      <c r="B80" s="272"/>
      <c r="C80" s="272"/>
      <c r="D80" s="272"/>
      <c r="E80" s="272"/>
      <c r="F80" s="272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2"/>
      <c r="U80" s="272"/>
      <c r="V80" s="272"/>
      <c r="W80" s="272"/>
      <c r="X80" s="272"/>
      <c r="Y80" s="272"/>
      <c r="Z80" s="272"/>
    </row>
    <row r="81" spans="1:26">
      <c r="A81" s="272"/>
      <c r="B81" s="272"/>
      <c r="C81" s="272"/>
      <c r="D81" s="272"/>
      <c r="E81" s="272"/>
      <c r="F81" s="272"/>
      <c r="G81" s="272"/>
      <c r="H81" s="272"/>
      <c r="I81" s="272"/>
      <c r="J81" s="272"/>
      <c r="K81" s="272"/>
      <c r="L81" s="272"/>
      <c r="M81" s="272"/>
      <c r="N81" s="272"/>
      <c r="O81" s="272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72"/>
    </row>
    <row r="82" spans="1:26">
      <c r="A82" s="272"/>
      <c r="B82" s="272"/>
      <c r="C82" s="272"/>
      <c r="D82" s="272"/>
      <c r="E82" s="272"/>
      <c r="F82" s="272"/>
      <c r="G82" s="272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2"/>
      <c r="X82" s="272"/>
      <c r="Y82" s="272"/>
      <c r="Z82" s="272"/>
    </row>
    <row r="83" spans="1:26">
      <c r="A83" s="272"/>
      <c r="B83" s="272"/>
      <c r="C83" s="272"/>
      <c r="D83" s="272"/>
      <c r="E83" s="272"/>
      <c r="F83" s="272"/>
      <c r="G83" s="272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2"/>
      <c r="X83" s="272"/>
      <c r="Y83" s="272"/>
      <c r="Z83" s="272"/>
    </row>
    <row r="84" spans="1:26">
      <c r="A84" s="272"/>
      <c r="B84" s="272"/>
      <c r="C84" s="272"/>
      <c r="D84" s="272"/>
      <c r="E84" s="272"/>
      <c r="F84" s="272"/>
      <c r="G84" s="272"/>
      <c r="H84" s="272"/>
      <c r="I84" s="272"/>
      <c r="J84" s="272"/>
      <c r="K84" s="272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  <c r="W84" s="272"/>
      <c r="X84" s="272"/>
      <c r="Y84" s="272"/>
      <c r="Z84" s="272"/>
    </row>
    <row r="85" spans="1:26">
      <c r="A85" s="272"/>
      <c r="B85" s="272"/>
      <c r="C85" s="272"/>
      <c r="D85" s="272"/>
      <c r="E85" s="272"/>
      <c r="F85" s="272"/>
      <c r="G85" s="272"/>
      <c r="H85" s="272"/>
      <c r="I85" s="272"/>
      <c r="J85" s="272"/>
      <c r="K85" s="272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  <c r="W85" s="272"/>
      <c r="X85" s="272"/>
      <c r="Y85" s="272"/>
      <c r="Z85" s="272"/>
    </row>
    <row r="86" spans="1:26">
      <c r="A86" s="272"/>
      <c r="B86" s="272"/>
      <c r="C86" s="272"/>
      <c r="D86" s="272"/>
      <c r="E86" s="272"/>
      <c r="F86" s="272"/>
      <c r="G86" s="272"/>
      <c r="H86" s="272"/>
      <c r="I86" s="272"/>
      <c r="J86" s="272"/>
      <c r="K86" s="272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  <c r="W86" s="272"/>
      <c r="X86" s="272"/>
      <c r="Y86" s="272"/>
      <c r="Z86" s="272"/>
    </row>
    <row r="87" spans="1:26">
      <c r="A87" s="272"/>
      <c r="B87" s="272"/>
      <c r="C87" s="272"/>
      <c r="D87" s="272"/>
      <c r="E87" s="272"/>
      <c r="F87" s="272"/>
      <c r="G87" s="272"/>
      <c r="H87" s="272"/>
      <c r="I87" s="272"/>
      <c r="J87" s="272"/>
      <c r="K87" s="272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  <c r="W87" s="272"/>
      <c r="X87" s="272"/>
      <c r="Y87" s="272"/>
      <c r="Z87" s="272"/>
    </row>
    <row r="88" spans="1:26">
      <c r="A88" s="272"/>
      <c r="B88" s="272"/>
      <c r="C88" s="272"/>
      <c r="D88" s="272"/>
      <c r="E88" s="272"/>
      <c r="F88" s="272"/>
      <c r="G88" s="272"/>
      <c r="H88" s="272"/>
      <c r="I88" s="272"/>
      <c r="J88" s="272"/>
      <c r="K88" s="272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  <c r="W88" s="272"/>
      <c r="X88" s="272"/>
      <c r="Y88" s="272"/>
      <c r="Z88" s="272"/>
    </row>
    <row r="89" spans="1:26">
      <c r="A89" s="272"/>
      <c r="B89" s="272"/>
      <c r="C89" s="272"/>
      <c r="D89" s="272"/>
      <c r="E89" s="272"/>
      <c r="F89" s="272"/>
      <c r="G89" s="272"/>
      <c r="H89" s="272"/>
      <c r="I89" s="272"/>
      <c r="J89" s="272"/>
      <c r="K89" s="272"/>
      <c r="L89" s="272"/>
      <c r="M89" s="272"/>
      <c r="N89" s="272"/>
      <c r="O89" s="272"/>
      <c r="P89" s="272"/>
      <c r="Q89" s="272"/>
      <c r="R89" s="272"/>
      <c r="S89" s="272"/>
      <c r="T89" s="272"/>
      <c r="U89" s="272"/>
      <c r="V89" s="272"/>
      <c r="W89" s="272"/>
      <c r="X89" s="272"/>
      <c r="Y89" s="272"/>
      <c r="Z89" s="272"/>
    </row>
    <row r="90" spans="1:26">
      <c r="A90" s="272"/>
      <c r="B90" s="272"/>
      <c r="C90" s="272"/>
      <c r="D90" s="272"/>
      <c r="E90" s="272"/>
      <c r="F90" s="272"/>
      <c r="G90" s="272"/>
      <c r="H90" s="272"/>
      <c r="I90" s="272"/>
      <c r="J90" s="272"/>
      <c r="K90" s="272"/>
      <c r="L90" s="272"/>
      <c r="M90" s="272"/>
      <c r="N90" s="272"/>
      <c r="O90" s="272"/>
      <c r="P90" s="272"/>
      <c r="Q90" s="272"/>
      <c r="R90" s="272"/>
      <c r="S90" s="272"/>
      <c r="T90" s="272"/>
      <c r="U90" s="272"/>
      <c r="V90" s="272"/>
      <c r="W90" s="272"/>
      <c r="X90" s="272"/>
      <c r="Y90" s="272"/>
      <c r="Z90" s="272"/>
    </row>
    <row r="91" spans="1:26">
      <c r="A91" s="272"/>
      <c r="B91" s="272"/>
      <c r="C91" s="272"/>
      <c r="D91" s="272"/>
      <c r="E91" s="272"/>
      <c r="F91" s="272"/>
      <c r="G91" s="272"/>
      <c r="H91" s="272"/>
      <c r="I91" s="272"/>
      <c r="J91" s="272"/>
      <c r="K91" s="272"/>
      <c r="L91" s="272"/>
      <c r="M91" s="272"/>
      <c r="N91" s="272"/>
      <c r="O91" s="272"/>
      <c r="P91" s="272"/>
      <c r="Q91" s="272"/>
      <c r="R91" s="272"/>
      <c r="S91" s="272"/>
      <c r="T91" s="272"/>
      <c r="U91" s="272"/>
      <c r="V91" s="272"/>
      <c r="W91" s="272"/>
      <c r="X91" s="272"/>
      <c r="Y91" s="272"/>
      <c r="Z91" s="272"/>
    </row>
    <row r="92" spans="1:26">
      <c r="A92" s="272"/>
      <c r="B92" s="272"/>
      <c r="C92" s="272"/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2"/>
      <c r="P92" s="272"/>
      <c r="Q92" s="272"/>
      <c r="R92" s="272"/>
      <c r="S92" s="272"/>
      <c r="T92" s="272"/>
      <c r="U92" s="272"/>
      <c r="V92" s="272"/>
      <c r="W92" s="272"/>
      <c r="X92" s="272"/>
      <c r="Y92" s="272"/>
      <c r="Z92" s="272"/>
    </row>
    <row r="93" spans="1:26">
      <c r="A93" s="272"/>
      <c r="B93" s="272"/>
      <c r="C93" s="272"/>
      <c r="D93" s="272"/>
      <c r="E93" s="272"/>
      <c r="F93" s="272"/>
      <c r="G93" s="272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  <c r="S93" s="272"/>
      <c r="T93" s="272"/>
      <c r="U93" s="272"/>
      <c r="V93" s="272"/>
      <c r="W93" s="272"/>
      <c r="X93" s="272"/>
      <c r="Y93" s="272"/>
      <c r="Z93" s="272"/>
    </row>
    <row r="94" spans="1:26">
      <c r="A94" s="272"/>
      <c r="B94" s="272"/>
      <c r="C94" s="272"/>
      <c r="D94" s="272"/>
      <c r="E94" s="272"/>
      <c r="F94" s="272"/>
      <c r="G94" s="272"/>
      <c r="H94" s="272"/>
      <c r="I94" s="272"/>
      <c r="J94" s="272"/>
      <c r="K94" s="272"/>
      <c r="L94" s="272"/>
      <c r="M94" s="272"/>
      <c r="N94" s="272"/>
      <c r="O94" s="272"/>
      <c r="P94" s="272"/>
      <c r="Q94" s="272"/>
      <c r="R94" s="272"/>
      <c r="S94" s="272"/>
      <c r="T94" s="272"/>
      <c r="U94" s="272"/>
      <c r="V94" s="272"/>
      <c r="W94" s="272"/>
      <c r="X94" s="272"/>
      <c r="Y94" s="272"/>
      <c r="Z94" s="272"/>
    </row>
    <row r="95" spans="1:26">
      <c r="A95" s="272"/>
      <c r="B95" s="272"/>
      <c r="C95" s="272"/>
      <c r="D95" s="272"/>
      <c r="E95" s="272"/>
      <c r="F95" s="272"/>
      <c r="G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</row>
    <row r="96" spans="1:26">
      <c r="A96" s="272"/>
      <c r="B96" s="272"/>
      <c r="C96" s="272"/>
      <c r="D96" s="272"/>
      <c r="E96" s="272"/>
      <c r="F96" s="272"/>
      <c r="G96" s="272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2"/>
      <c r="U96" s="272"/>
      <c r="V96" s="272"/>
      <c r="W96" s="272"/>
      <c r="X96" s="272"/>
      <c r="Y96" s="272"/>
      <c r="Z96" s="272"/>
    </row>
    <row r="97" spans="1:26">
      <c r="A97" s="272"/>
      <c r="B97" s="272"/>
      <c r="C97" s="272"/>
      <c r="D97" s="272"/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</row>
    <row r="98" spans="1:26">
      <c r="A98" s="272"/>
      <c r="B98" s="272"/>
      <c r="C98" s="272"/>
      <c r="D98" s="272"/>
      <c r="E98" s="272"/>
      <c r="F98" s="272"/>
      <c r="G98" s="272"/>
      <c r="H98" s="272"/>
      <c r="I98" s="272"/>
      <c r="J98" s="272"/>
      <c r="K98" s="272"/>
      <c r="L98" s="272"/>
      <c r="M98" s="272"/>
      <c r="N98" s="272"/>
      <c r="O98" s="272"/>
      <c r="P98" s="272"/>
      <c r="Q98" s="272"/>
      <c r="R98" s="272"/>
      <c r="S98" s="272"/>
      <c r="T98" s="272"/>
      <c r="U98" s="272"/>
      <c r="V98" s="272"/>
      <c r="W98" s="272"/>
      <c r="X98" s="272"/>
      <c r="Y98" s="272"/>
      <c r="Z98" s="272"/>
    </row>
    <row r="99" spans="1:26">
      <c r="A99" s="272"/>
      <c r="B99" s="272"/>
      <c r="C99" s="272"/>
      <c r="D99" s="272"/>
      <c r="E99" s="272"/>
      <c r="F99" s="272"/>
      <c r="G99" s="272"/>
      <c r="H99" s="272"/>
      <c r="I99" s="272"/>
      <c r="J99" s="272"/>
      <c r="K99" s="272"/>
      <c r="L99" s="272"/>
      <c r="M99" s="272"/>
      <c r="N99" s="272"/>
      <c r="O99" s="272"/>
      <c r="P99" s="272"/>
      <c r="Q99" s="272"/>
      <c r="R99" s="272"/>
      <c r="S99" s="272"/>
      <c r="T99" s="272"/>
      <c r="U99" s="272"/>
      <c r="V99" s="272"/>
      <c r="W99" s="272"/>
      <c r="X99" s="272"/>
      <c r="Y99" s="272"/>
      <c r="Z99" s="272"/>
    </row>
  </sheetData>
  <mergeCells count="8">
    <mergeCell ref="B31:D31"/>
    <mergeCell ref="A16:D16"/>
    <mergeCell ref="B19:D19"/>
    <mergeCell ref="B20:D20"/>
    <mergeCell ref="B23:D23"/>
    <mergeCell ref="B26:D26"/>
    <mergeCell ref="B30:D30"/>
    <mergeCell ref="B27:D27"/>
  </mergeCells>
  <hyperlinks>
    <hyperlink ref="B30" r:id="rId1" xr:uid="{F7F8F6D6-10DA-4B47-BA30-3EBC39D07587}"/>
    <hyperlink ref="B32" r:id="rId2" xr:uid="{BD486DBF-2DF2-43B1-8C90-21EF28E1A47B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3EF7-2BA1-4958-B9C1-EB66FD6DB01F}">
  <sheetPr codeName="Sheet15"/>
  <dimension ref="A3:AD37"/>
  <sheetViews>
    <sheetView zoomScaleNormal="100" workbookViewId="0">
      <selection activeCell="F30" sqref="F30"/>
    </sheetView>
  </sheetViews>
  <sheetFormatPr defaultColWidth="9" defaultRowHeight="14.4"/>
  <cols>
    <col min="1" max="1" width="12.21875" customWidth="1"/>
    <col min="2" max="2" width="11.77734375" customWidth="1"/>
    <col min="3" max="3" width="3.21875" bestFit="1" customWidth="1"/>
    <col min="4" max="4" width="8.5546875" bestFit="1" customWidth="1"/>
    <col min="5" max="5" width="6.21875" bestFit="1" customWidth="1"/>
    <col min="6" max="6" width="5" bestFit="1" customWidth="1"/>
    <col min="7" max="8" width="5.77734375" bestFit="1" customWidth="1"/>
    <col min="9" max="9" width="5.21875" bestFit="1" customWidth="1"/>
    <col min="10" max="11" width="5.77734375" bestFit="1" customWidth="1"/>
    <col min="12" max="12" width="6.5546875" bestFit="1" customWidth="1"/>
    <col min="13" max="13" width="6" bestFit="1" customWidth="1"/>
    <col min="14" max="14" width="6.77734375" bestFit="1" customWidth="1"/>
    <col min="15" max="15" width="6.5546875" bestFit="1" customWidth="1"/>
    <col min="16" max="16" width="7.21875" bestFit="1" customWidth="1"/>
    <col min="17" max="17" width="5.77734375" bestFit="1" customWidth="1"/>
    <col min="18" max="18" width="6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6.77734375" bestFit="1" customWidth="1"/>
    <col min="23" max="23" width="5" bestFit="1" customWidth="1"/>
    <col min="24" max="24" width="7.5546875" customWidth="1"/>
    <col min="25" max="25" width="6.77734375" bestFit="1" customWidth="1"/>
    <col min="26" max="28" width="6" bestFit="1" customWidth="1"/>
    <col min="29" max="29" width="5.77734375" bestFit="1" customWidth="1"/>
    <col min="30" max="30" width="6.77734375" bestFit="1" customWidth="1"/>
  </cols>
  <sheetData>
    <row r="3" spans="1:30">
      <c r="C3" s="223" t="str" cm="1">
        <f t="array" ref="C3">INDEX(C5:C7,$A$4)</f>
        <v>IE</v>
      </c>
      <c r="D3" s="223" t="str" cm="1">
        <f t="array" ref="D3">INDEX(D5:D7,$A$4)</f>
        <v>National</v>
      </c>
      <c r="E3" s="223" t="str" cm="1">
        <f t="array" ref="E3">INDEX(E5:E7,$A$4)</f>
        <v>IE-CW</v>
      </c>
      <c r="F3" s="223" t="str" cm="1">
        <f t="array" ref="F3">INDEX(F5:F7,$A$4)</f>
        <v>IE-D</v>
      </c>
      <c r="G3" s="223" t="str" cm="1">
        <f t="array" ref="G3">INDEX(G5:G7,$A$4)</f>
        <v>IE-KE</v>
      </c>
      <c r="H3" s="223" t="str" cm="1">
        <f t="array" ref="H3">INDEX(H5:H7,$A$4)</f>
        <v>IE-KK</v>
      </c>
      <c r="I3" s="223" t="str" cm="1">
        <f t="array" ref="I3">INDEX(I5:I7,$A$4)</f>
        <v>IE-LS</v>
      </c>
      <c r="J3" s="223" t="str" cm="1">
        <f t="array" ref="J3">INDEX(J5:J7,$A$4)</f>
        <v>IE-LD</v>
      </c>
      <c r="K3" s="223" t="str" cm="1">
        <f t="array" ref="K3">INDEX(K5:K7,$A$4)</f>
        <v>IE-LH</v>
      </c>
      <c r="L3" s="223" t="str" cm="1">
        <f t="array" ref="L3">INDEX(L5:L7,$A$4)</f>
        <v>IE-MH</v>
      </c>
      <c r="M3" s="223" t="str" cm="1">
        <f t="array" ref="M3">INDEX(M5:M7,$A$4)</f>
        <v>IE-OY</v>
      </c>
      <c r="N3" s="223" t="str" cm="1">
        <f t="array" ref="N3">INDEX(N5:N7,$A$4)</f>
        <v>IE-WH</v>
      </c>
      <c r="O3" s="223" t="str" cm="1">
        <f t="array" ref="O3">INDEX(O5:O7,$A$4)</f>
        <v>IE-WX</v>
      </c>
      <c r="P3" s="223" t="str" cm="1">
        <f t="array" ref="P3">INDEX(P5:P7,$A$4)</f>
        <v>IE-WW</v>
      </c>
      <c r="Q3" s="223" t="str" cm="1">
        <f t="array" ref="Q3">INDEX(Q5:Q7,$A$4)</f>
        <v>IE-CE</v>
      </c>
      <c r="R3" s="223" t="str" cm="1">
        <f t="array" ref="R3">INDEX(R5:R7,$A$4)</f>
        <v>IE-CO</v>
      </c>
      <c r="S3" s="223" t="str" cm="1">
        <f t="array" ref="S3">INDEX(S5:S7,$A$4)</f>
        <v>IE-KY</v>
      </c>
      <c r="T3" s="223" t="str" cm="1">
        <f t="array" ref="T3">INDEX(T5:T7,$A$4)</f>
        <v>IE-LK</v>
      </c>
      <c r="U3" s="223" t="str" cm="1">
        <f t="array" ref="U3">INDEX(U5:U7,$A$4)</f>
        <v>IE-TA</v>
      </c>
      <c r="V3" s="223" t="str" cm="1">
        <f t="array" ref="V3">INDEX(V5:V7,$A$4)</f>
        <v>IE-WD</v>
      </c>
      <c r="W3" s="223" t="str" cm="1">
        <f t="array" ref="W3">INDEX(W5:W7,$A$4)</f>
        <v>IE-G</v>
      </c>
      <c r="X3" s="223" t="str" cm="1">
        <f t="array" ref="X3">INDEX(X5:X7,$A$4)</f>
        <v>IE-LM</v>
      </c>
      <c r="Y3" s="223" t="str" cm="1">
        <f t="array" ref="Y3">INDEX(Y5:Y7,$A$4)</f>
        <v>IE-MO</v>
      </c>
      <c r="Z3" s="223" t="str" cm="1">
        <f t="array" ref="Z3">INDEX(Z5:Z7,$A$4)</f>
        <v>IE-RN</v>
      </c>
      <c r="AA3" s="223" t="str" cm="1">
        <f t="array" ref="AA3">INDEX(AA5:AA7,$A$4)</f>
        <v>IE-SO</v>
      </c>
      <c r="AB3" s="223" t="str" cm="1">
        <f t="array" ref="AB3">INDEX(AB5:AB7,$A$4)</f>
        <v>IE-CN</v>
      </c>
      <c r="AC3" s="223" t="str" cm="1">
        <f t="array" ref="AC3">INDEX(AC5:AC7,$A$4)</f>
        <v>IE-DL</v>
      </c>
      <c r="AD3" s="223" t="str" cm="1">
        <f t="array" ref="AD3">INDEX(AD5:AD7,$A$4)</f>
        <v>IE-MN</v>
      </c>
    </row>
    <row r="4" spans="1:30">
      <c r="A4">
        <v>1</v>
      </c>
    </row>
    <row r="5" spans="1:30">
      <c r="A5" t="s">
        <v>454</v>
      </c>
      <c r="C5" s="224" t="s">
        <v>455</v>
      </c>
      <c r="D5" s="224" t="s">
        <v>456</v>
      </c>
      <c r="E5" s="223" t="str">
        <f>A11</f>
        <v>IE-CW</v>
      </c>
      <c r="F5" s="223" t="str">
        <f>A16</f>
        <v>IE-D</v>
      </c>
      <c r="G5" s="223" t="str">
        <f>A19</f>
        <v>IE-KE</v>
      </c>
      <c r="H5" s="223" t="str">
        <f>A20</f>
        <v>IE-KK</v>
      </c>
      <c r="I5" s="223" t="str">
        <f>A21</f>
        <v>IE-LS</v>
      </c>
      <c r="J5" s="223" t="str">
        <f>A24</f>
        <v>IE-LD</v>
      </c>
      <c r="K5" s="223" t="str">
        <f>A25</f>
        <v>IE-LH</v>
      </c>
      <c r="L5" s="223" t="str">
        <f>A27</f>
        <v>IE-MH</v>
      </c>
      <c r="M5" s="223" t="str">
        <f>A29</f>
        <v>IE-OY</v>
      </c>
      <c r="N5" s="223" t="str">
        <f>A34</f>
        <v>IE-WH</v>
      </c>
      <c r="O5" s="223" t="str">
        <f>A35</f>
        <v>IE-WX</v>
      </c>
      <c r="P5" s="223" t="str">
        <f>A36</f>
        <v>IE-WW</v>
      </c>
      <c r="Q5" s="223" t="str">
        <f>A13</f>
        <v>IE-CE</v>
      </c>
      <c r="R5" s="223" t="str">
        <f>A14</f>
        <v>IE-CO</v>
      </c>
      <c r="S5" s="223" t="str">
        <f>A18</f>
        <v>IE-KY</v>
      </c>
      <c r="T5" s="223" t="str">
        <f>A23</f>
        <v>IE-LK</v>
      </c>
      <c r="U5" s="223" t="str">
        <f>A32</f>
        <v>IE-TA</v>
      </c>
      <c r="V5" s="223" t="str">
        <f>A33</f>
        <v>IE-WD</v>
      </c>
      <c r="W5" s="223" t="str">
        <f>A17</f>
        <v>IE-G</v>
      </c>
      <c r="X5" s="223" t="str">
        <f>A22</f>
        <v>IE-LM</v>
      </c>
      <c r="Y5" s="223" t="str">
        <f>A26</f>
        <v>IE-MO</v>
      </c>
      <c r="Z5" s="223" t="str">
        <f>A30</f>
        <v>IE-RN</v>
      </c>
      <c r="AA5" s="223" t="str">
        <f>A31</f>
        <v>IE-SO</v>
      </c>
      <c r="AB5" s="223" t="str">
        <f>A12</f>
        <v>IE-CN</v>
      </c>
      <c r="AC5" s="223" t="str">
        <f>A15</f>
        <v>IE-DL</v>
      </c>
      <c r="AD5" s="223" t="str">
        <f>A28</f>
        <v>IE-MN</v>
      </c>
    </row>
    <row r="6" spans="1:30">
      <c r="A6" t="s">
        <v>457</v>
      </c>
      <c r="C6" s="223" t="str">
        <f>C5</f>
        <v>IE</v>
      </c>
      <c r="D6" s="223" t="str">
        <f>"*"&amp;D5</f>
        <v>*National</v>
      </c>
      <c r="E6" s="223" t="str">
        <f>"*"&amp;E5</f>
        <v>*IE-CW</v>
      </c>
      <c r="F6" s="223" t="str">
        <f t="shared" ref="F6:AD6" si="0">"*"&amp;F5</f>
        <v>*IE-D</v>
      </c>
      <c r="G6" s="223" t="str">
        <f t="shared" si="0"/>
        <v>*IE-KE</v>
      </c>
      <c r="H6" s="223" t="str">
        <f t="shared" si="0"/>
        <v>*IE-KK</v>
      </c>
      <c r="I6" s="223" t="str">
        <f t="shared" si="0"/>
        <v>*IE-LS</v>
      </c>
      <c r="J6" s="223" t="str">
        <f t="shared" si="0"/>
        <v>*IE-LD</v>
      </c>
      <c r="K6" s="223" t="str">
        <f t="shared" si="0"/>
        <v>*IE-LH</v>
      </c>
      <c r="L6" s="223" t="str">
        <f t="shared" si="0"/>
        <v>*IE-MH</v>
      </c>
      <c r="M6" s="223" t="str">
        <f t="shared" si="0"/>
        <v>*IE-OY</v>
      </c>
      <c r="N6" s="223" t="str">
        <f t="shared" si="0"/>
        <v>*IE-WH</v>
      </c>
      <c r="O6" s="223" t="str">
        <f t="shared" si="0"/>
        <v>*IE-WX</v>
      </c>
      <c r="P6" s="223" t="str">
        <f t="shared" si="0"/>
        <v>*IE-WW</v>
      </c>
      <c r="Q6" s="223" t="str">
        <f t="shared" si="0"/>
        <v>*IE-CE</v>
      </c>
      <c r="R6" s="223" t="str">
        <f t="shared" si="0"/>
        <v>*IE-CO</v>
      </c>
      <c r="S6" s="223" t="str">
        <f t="shared" si="0"/>
        <v>*IE-KY</v>
      </c>
      <c r="T6" s="223" t="str">
        <f t="shared" si="0"/>
        <v>*IE-LK</v>
      </c>
      <c r="U6" s="223" t="str">
        <f t="shared" si="0"/>
        <v>*IE-TA</v>
      </c>
      <c r="V6" s="223" t="str">
        <f t="shared" si="0"/>
        <v>*IE-WD</v>
      </c>
      <c r="W6" s="223" t="str">
        <f t="shared" si="0"/>
        <v>*IE-G</v>
      </c>
      <c r="X6" s="223" t="str">
        <f t="shared" si="0"/>
        <v>*IE-LM</v>
      </c>
      <c r="Y6" s="223" t="str">
        <f t="shared" si="0"/>
        <v>*IE-MO</v>
      </c>
      <c r="Z6" s="223" t="str">
        <f t="shared" si="0"/>
        <v>*IE-RN</v>
      </c>
      <c r="AA6" s="223" t="str">
        <f t="shared" si="0"/>
        <v>*IE-SO</v>
      </c>
      <c r="AB6" s="223" t="str">
        <f t="shared" si="0"/>
        <v>*IE-CN</v>
      </c>
      <c r="AC6" s="223" t="str">
        <f t="shared" si="0"/>
        <v>*IE-DL</v>
      </c>
      <c r="AD6" s="223" t="str">
        <f t="shared" si="0"/>
        <v>*IE-MN</v>
      </c>
    </row>
    <row r="7" spans="1:30">
      <c r="A7" t="s">
        <v>458</v>
      </c>
      <c r="C7" s="223" t="str">
        <f>"*"&amp;C5</f>
        <v>*IE</v>
      </c>
      <c r="D7" s="223" t="str">
        <f>D5</f>
        <v>National</v>
      </c>
      <c r="E7" s="223" t="str">
        <f t="shared" ref="E7:AD7" si="1">E5</f>
        <v>IE-CW</v>
      </c>
      <c r="F7" s="223" t="str">
        <f t="shared" si="1"/>
        <v>IE-D</v>
      </c>
      <c r="G7" s="223" t="str">
        <f t="shared" si="1"/>
        <v>IE-KE</v>
      </c>
      <c r="H7" s="223" t="str">
        <f t="shared" si="1"/>
        <v>IE-KK</v>
      </c>
      <c r="I7" s="223" t="str">
        <f t="shared" si="1"/>
        <v>IE-LS</v>
      </c>
      <c r="J7" s="223" t="str">
        <f t="shared" si="1"/>
        <v>IE-LD</v>
      </c>
      <c r="K7" s="223" t="str">
        <f t="shared" si="1"/>
        <v>IE-LH</v>
      </c>
      <c r="L7" s="223" t="str">
        <f t="shared" si="1"/>
        <v>IE-MH</v>
      </c>
      <c r="M7" s="223" t="str">
        <f t="shared" si="1"/>
        <v>IE-OY</v>
      </c>
      <c r="N7" s="223" t="str">
        <f t="shared" si="1"/>
        <v>IE-WH</v>
      </c>
      <c r="O7" s="223" t="str">
        <f t="shared" si="1"/>
        <v>IE-WX</v>
      </c>
      <c r="P7" s="223" t="str">
        <f t="shared" si="1"/>
        <v>IE-WW</v>
      </c>
      <c r="Q7" s="223" t="str">
        <f t="shared" si="1"/>
        <v>IE-CE</v>
      </c>
      <c r="R7" s="223" t="str">
        <f t="shared" si="1"/>
        <v>IE-CO</v>
      </c>
      <c r="S7" s="223" t="str">
        <f t="shared" si="1"/>
        <v>IE-KY</v>
      </c>
      <c r="T7" s="223" t="str">
        <f t="shared" si="1"/>
        <v>IE-LK</v>
      </c>
      <c r="U7" s="223" t="str">
        <f t="shared" si="1"/>
        <v>IE-TA</v>
      </c>
      <c r="V7" s="223" t="str">
        <f t="shared" si="1"/>
        <v>IE-WD</v>
      </c>
      <c r="W7" s="223" t="str">
        <f t="shared" si="1"/>
        <v>IE-G</v>
      </c>
      <c r="X7" s="223" t="str">
        <f t="shared" si="1"/>
        <v>IE-LM</v>
      </c>
      <c r="Y7" s="223" t="str">
        <f t="shared" si="1"/>
        <v>IE-MO</v>
      </c>
      <c r="Z7" s="223" t="str">
        <f t="shared" si="1"/>
        <v>IE-RN</v>
      </c>
      <c r="AA7" s="223" t="str">
        <f t="shared" si="1"/>
        <v>IE-SO</v>
      </c>
      <c r="AB7" s="223" t="str">
        <f t="shared" si="1"/>
        <v>IE-CN</v>
      </c>
      <c r="AC7" s="223" t="str">
        <f t="shared" si="1"/>
        <v>IE-DL</v>
      </c>
      <c r="AD7" s="223" t="str">
        <f t="shared" si="1"/>
        <v>IE-MN</v>
      </c>
    </row>
    <row r="10" spans="1:30" ht="15" thickBot="1">
      <c r="A10" s="225" t="s">
        <v>279</v>
      </c>
      <c r="B10" s="225" t="s">
        <v>459</v>
      </c>
    </row>
    <row r="11" spans="1:30">
      <c r="A11" s="226" t="s">
        <v>460</v>
      </c>
      <c r="B11" s="226" t="s">
        <v>461</v>
      </c>
    </row>
    <row r="12" spans="1:30">
      <c r="A12" s="31" t="s">
        <v>462</v>
      </c>
      <c r="B12" s="31" t="s">
        <v>463</v>
      </c>
    </row>
    <row r="13" spans="1:30">
      <c r="A13" s="31" t="s">
        <v>464</v>
      </c>
      <c r="B13" s="31" t="s">
        <v>465</v>
      </c>
    </row>
    <row r="14" spans="1:30">
      <c r="A14" s="31" t="s">
        <v>466</v>
      </c>
      <c r="B14" s="31" t="s">
        <v>467</v>
      </c>
    </row>
    <row r="15" spans="1:30">
      <c r="A15" s="31" t="s">
        <v>468</v>
      </c>
      <c r="B15" s="31" t="s">
        <v>469</v>
      </c>
    </row>
    <row r="16" spans="1:30">
      <c r="A16" s="31" t="s">
        <v>470</v>
      </c>
      <c r="B16" s="31" t="s">
        <v>471</v>
      </c>
    </row>
    <row r="17" spans="1:2">
      <c r="A17" s="31" t="s">
        <v>472</v>
      </c>
      <c r="B17" s="31" t="s">
        <v>473</v>
      </c>
    </row>
    <row r="18" spans="1:2">
      <c r="A18" s="31" t="s">
        <v>474</v>
      </c>
      <c r="B18" s="31" t="s">
        <v>475</v>
      </c>
    </row>
    <row r="19" spans="1:2">
      <c r="A19" s="31" t="s">
        <v>476</v>
      </c>
      <c r="B19" s="31" t="s">
        <v>477</v>
      </c>
    </row>
    <row r="20" spans="1:2">
      <c r="A20" s="31" t="s">
        <v>478</v>
      </c>
      <c r="B20" s="31" t="s">
        <v>479</v>
      </c>
    </row>
    <row r="21" spans="1:2">
      <c r="A21" s="31" t="s">
        <v>480</v>
      </c>
      <c r="B21" s="31" t="s">
        <v>481</v>
      </c>
    </row>
    <row r="22" spans="1:2">
      <c r="A22" s="31" t="s">
        <v>482</v>
      </c>
      <c r="B22" s="31" t="s">
        <v>483</v>
      </c>
    </row>
    <row r="23" spans="1:2">
      <c r="A23" s="31" t="s">
        <v>484</v>
      </c>
      <c r="B23" s="31" t="s">
        <v>485</v>
      </c>
    </row>
    <row r="24" spans="1:2">
      <c r="A24" s="31" t="s">
        <v>486</v>
      </c>
      <c r="B24" s="31" t="s">
        <v>487</v>
      </c>
    </row>
    <row r="25" spans="1:2">
      <c r="A25" s="31" t="s">
        <v>488</v>
      </c>
      <c r="B25" s="31" t="s">
        <v>489</v>
      </c>
    </row>
    <row r="26" spans="1:2">
      <c r="A26" s="31" t="s">
        <v>490</v>
      </c>
      <c r="B26" s="31" t="s">
        <v>491</v>
      </c>
    </row>
    <row r="27" spans="1:2">
      <c r="A27" s="31" t="s">
        <v>492</v>
      </c>
      <c r="B27" s="31" t="s">
        <v>493</v>
      </c>
    </row>
    <row r="28" spans="1:2">
      <c r="A28" s="31" t="s">
        <v>494</v>
      </c>
      <c r="B28" s="31" t="s">
        <v>495</v>
      </c>
    </row>
    <row r="29" spans="1:2">
      <c r="A29" s="31" t="s">
        <v>496</v>
      </c>
      <c r="B29" s="31" t="s">
        <v>497</v>
      </c>
    </row>
    <row r="30" spans="1:2">
      <c r="A30" s="31" t="s">
        <v>498</v>
      </c>
      <c r="B30" s="31" t="s">
        <v>499</v>
      </c>
    </row>
    <row r="31" spans="1:2">
      <c r="A31" s="31" t="s">
        <v>500</v>
      </c>
      <c r="B31" s="31" t="s">
        <v>501</v>
      </c>
    </row>
    <row r="32" spans="1:2">
      <c r="A32" s="31" t="s">
        <v>502</v>
      </c>
      <c r="B32" s="31" t="s">
        <v>503</v>
      </c>
    </row>
    <row r="33" spans="1:2">
      <c r="A33" s="31" t="s">
        <v>504</v>
      </c>
      <c r="B33" s="31" t="s">
        <v>505</v>
      </c>
    </row>
    <row r="34" spans="1:2">
      <c r="A34" s="31" t="s">
        <v>506</v>
      </c>
      <c r="B34" s="31" t="s">
        <v>507</v>
      </c>
    </row>
    <row r="35" spans="1:2">
      <c r="A35" s="31" t="s">
        <v>508</v>
      </c>
      <c r="B35" s="31" t="s">
        <v>509</v>
      </c>
    </row>
    <row r="36" spans="1:2">
      <c r="A36" s="31" t="s">
        <v>510</v>
      </c>
      <c r="B36" s="31" t="s">
        <v>511</v>
      </c>
    </row>
    <row r="37" spans="1:2">
      <c r="A37" s="227" t="s">
        <v>512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057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30480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CB6D-2A3E-4879-AFF8-DE9B6A0FD3B5}">
  <sheetPr codeName="Sheet13">
    <tabColor rgb="FFFF0000"/>
  </sheetPr>
  <dimension ref="A1:AQ40"/>
  <sheetViews>
    <sheetView zoomScale="70" zoomScaleNormal="70" workbookViewId="0">
      <pane xSplit="2" ySplit="1" topLeftCell="C2" activePane="bottomRight" state="frozen"/>
      <selection activeCell="A65" sqref="A65:XFD65"/>
      <selection pane="topRight" activeCell="A65" sqref="A65:XFD65"/>
      <selection pane="bottomLeft" activeCell="A65" sqref="A65:XFD65"/>
      <selection pane="bottomRight" activeCell="D5" sqref="D5"/>
    </sheetView>
  </sheetViews>
  <sheetFormatPr defaultColWidth="9.21875" defaultRowHeight="13.2"/>
  <cols>
    <col min="1" max="1" width="38.21875" style="133" customWidth="1"/>
    <col min="2" max="2" width="13" style="131" bestFit="1" customWidth="1"/>
    <col min="3" max="4" width="7.5546875" style="134" bestFit="1" customWidth="1"/>
    <col min="5" max="5" width="9.21875" style="134"/>
    <col min="6" max="6" width="6.21875" style="135" customWidth="1"/>
    <col min="7" max="7" width="5.77734375" style="135" bestFit="1" customWidth="1"/>
    <col min="8" max="8" width="7.21875" style="134" bestFit="1" customWidth="1"/>
    <col min="9" max="9" width="6.21875" style="135" bestFit="1" customWidth="1"/>
    <col min="10" max="10" width="6" style="135" bestFit="1" customWidth="1"/>
    <col min="11" max="11" width="6.77734375" style="135" bestFit="1" customWidth="1"/>
    <col min="12" max="12" width="8.77734375" style="132" bestFit="1" customWidth="1"/>
    <col min="13" max="13" width="8.21875" style="131" bestFit="1" customWidth="1"/>
    <col min="14" max="14" width="8.21875" style="131" customWidth="1"/>
    <col min="15" max="15" width="5.21875" style="131" customWidth="1"/>
    <col min="16" max="16" width="7.21875" style="131" customWidth="1"/>
    <col min="17" max="17" width="7.21875" style="131" bestFit="1" customWidth="1"/>
    <col min="18" max="18" width="8.21875" style="131" bestFit="1" customWidth="1"/>
    <col min="19" max="20" width="7.21875" style="131" bestFit="1" customWidth="1"/>
    <col min="21" max="21" width="8.21875" style="131" bestFit="1" customWidth="1"/>
    <col min="22" max="22" width="6.77734375" style="131" bestFit="1" customWidth="1"/>
    <col min="23" max="25" width="5.21875" style="131" customWidth="1"/>
    <col min="26" max="26" width="5.21875" style="135" customWidth="1"/>
    <col min="27" max="27" width="8.21875" style="132" bestFit="1" customWidth="1"/>
    <col min="28" max="28" width="6.77734375" style="132" bestFit="1" customWidth="1"/>
    <col min="29" max="30" width="5.5546875" style="131" customWidth="1"/>
    <col min="31" max="31" width="8.77734375" style="131" bestFit="1" customWidth="1"/>
    <col min="32" max="32" width="8.77734375" style="131" customWidth="1"/>
    <col min="33" max="33" width="5.5546875" style="131" customWidth="1"/>
    <col min="34" max="34" width="5.77734375" style="131" bestFit="1" customWidth="1"/>
    <col min="35" max="36" width="7" style="131" customWidth="1"/>
    <col min="37" max="40" width="5.5546875" style="131" customWidth="1"/>
    <col min="41" max="41" width="8.77734375" style="132" bestFit="1" customWidth="1"/>
    <col min="42" max="42" width="4.21875" style="132" bestFit="1" customWidth="1"/>
    <col min="43" max="43" width="9.21875" style="131" bestFit="1" customWidth="1"/>
    <col min="44" max="16384" width="9.21875" style="131"/>
  </cols>
  <sheetData>
    <row r="1" spans="1:43" ht="121.2" thickBot="1">
      <c r="A1" s="208" t="s">
        <v>428</v>
      </c>
      <c r="B1" s="207" t="s">
        <v>429</v>
      </c>
      <c r="C1" s="209" t="s">
        <v>160</v>
      </c>
      <c r="D1" s="210" t="s">
        <v>161</v>
      </c>
      <c r="E1" s="205" t="s">
        <v>162</v>
      </c>
      <c r="F1" s="204" t="s">
        <v>163</v>
      </c>
      <c r="G1" s="204" t="s">
        <v>164</v>
      </c>
      <c r="H1" s="206" t="s">
        <v>165</v>
      </c>
      <c r="I1" s="210" t="s">
        <v>166</v>
      </c>
      <c r="J1" s="205" t="s">
        <v>167</v>
      </c>
      <c r="K1" s="205" t="s">
        <v>168</v>
      </c>
      <c r="L1" s="206" t="s">
        <v>169</v>
      </c>
      <c r="M1" s="210" t="s">
        <v>170</v>
      </c>
      <c r="N1" s="216" t="s">
        <v>443</v>
      </c>
      <c r="O1" s="205" t="s">
        <v>171</v>
      </c>
      <c r="P1" s="205" t="s">
        <v>172</v>
      </c>
      <c r="Q1" s="205" t="s">
        <v>173</v>
      </c>
      <c r="R1" s="205" t="s">
        <v>174</v>
      </c>
      <c r="S1" s="205" t="s">
        <v>175</v>
      </c>
      <c r="T1" s="205" t="s">
        <v>176</v>
      </c>
      <c r="U1" s="205" t="s">
        <v>177</v>
      </c>
      <c r="V1" s="205" t="s">
        <v>178</v>
      </c>
      <c r="W1" s="204" t="s">
        <v>179</v>
      </c>
      <c r="X1" s="204" t="s">
        <v>180</v>
      </c>
      <c r="Y1" s="204" t="s">
        <v>181</v>
      </c>
      <c r="Z1" s="205" t="s">
        <v>182</v>
      </c>
      <c r="AA1" s="206" t="s">
        <v>183</v>
      </c>
      <c r="AB1" s="211" t="s">
        <v>184</v>
      </c>
      <c r="AC1" s="212" t="s">
        <v>185</v>
      </c>
      <c r="AD1" s="205" t="s">
        <v>186</v>
      </c>
      <c r="AE1" s="217" t="s">
        <v>444</v>
      </c>
      <c r="AF1" s="214" t="s">
        <v>445</v>
      </c>
      <c r="AG1" s="205" t="s">
        <v>187</v>
      </c>
      <c r="AH1" s="205" t="s">
        <v>188</v>
      </c>
      <c r="AI1" s="217" t="s">
        <v>446</v>
      </c>
      <c r="AJ1" s="214" t="s">
        <v>447</v>
      </c>
      <c r="AK1" s="217" t="s">
        <v>448</v>
      </c>
      <c r="AL1" s="214" t="s">
        <v>449</v>
      </c>
      <c r="AM1" s="215" t="s">
        <v>450</v>
      </c>
      <c r="AN1" s="206" t="s">
        <v>189</v>
      </c>
      <c r="AO1" s="206" t="s">
        <v>190</v>
      </c>
      <c r="AP1" s="211" t="s">
        <v>191</v>
      </c>
      <c r="AQ1" s="213" t="s">
        <v>192</v>
      </c>
    </row>
    <row r="2" spans="1:43">
      <c r="A2" s="286" t="s">
        <v>193</v>
      </c>
      <c r="B2" s="287"/>
      <c r="C2" s="288">
        <f>SUM(D2:G2)</f>
        <v>0</v>
      </c>
      <c r="D2" s="289">
        <v>0</v>
      </c>
      <c r="E2" s="290"/>
      <c r="F2" s="291"/>
      <c r="G2" s="291"/>
      <c r="H2" s="292">
        <f>SUM(I2:K2)</f>
        <v>815.92434898628403</v>
      </c>
      <c r="I2" s="293">
        <v>688.22034898628408</v>
      </c>
      <c r="J2" s="294">
        <v>127.70399999999999</v>
      </c>
      <c r="K2" s="295"/>
      <c r="L2" s="292">
        <f>SUM(M2:Z2)</f>
        <v>0</v>
      </c>
      <c r="M2" s="293"/>
      <c r="N2" s="296"/>
      <c r="O2" s="297"/>
      <c r="P2" s="297"/>
      <c r="Q2" s="297"/>
      <c r="R2" s="297"/>
      <c r="S2" s="297"/>
      <c r="T2" s="297"/>
      <c r="U2" s="297"/>
      <c r="V2" s="297"/>
      <c r="W2" s="291"/>
      <c r="X2" s="291"/>
      <c r="Y2" s="291"/>
      <c r="Z2" s="295"/>
      <c r="AA2" s="292">
        <v>2751.9191872187112</v>
      </c>
      <c r="AB2" s="298">
        <f>SUM(AC2:AM2)</f>
        <v>1334.658297317769</v>
      </c>
      <c r="AC2" s="299">
        <v>59.691708987970003</v>
      </c>
      <c r="AD2" s="295">
        <v>743.01992281532614</v>
      </c>
      <c r="AE2" s="295">
        <v>248.90859762015592</v>
      </c>
      <c r="AF2" s="295">
        <v>139.99992739520798</v>
      </c>
      <c r="AG2" s="295">
        <v>33.531818868055431</v>
      </c>
      <c r="AH2" s="295">
        <v>16.813132576534866</v>
      </c>
      <c r="AI2" s="295">
        <v>31.064467987392003</v>
      </c>
      <c r="AJ2" s="295">
        <v>2.6691993220799999</v>
      </c>
      <c r="AK2" s="293">
        <v>1.8899880806415161</v>
      </c>
      <c r="AL2" s="293">
        <v>13.54608560366562</v>
      </c>
      <c r="AM2" s="291">
        <v>43.523448060739646</v>
      </c>
      <c r="AN2" s="300">
        <v>145.43710297949829</v>
      </c>
      <c r="AO2" s="300"/>
      <c r="AP2" s="298"/>
      <c r="AQ2" s="301">
        <f>C2+H2+L2+AA2+AB2+AN2+AO2+AP2</f>
        <v>5047.9389365022625</v>
      </c>
    </row>
    <row r="3" spans="1:43">
      <c r="A3" s="302" t="s">
        <v>194</v>
      </c>
      <c r="B3" s="303"/>
      <c r="C3" s="304">
        <f>SUM(D3:G3)</f>
        <v>903.49466255082825</v>
      </c>
      <c r="D3" s="305">
        <v>829.57460107090037</v>
      </c>
      <c r="E3" s="306">
        <v>61.722867734674637</v>
      </c>
      <c r="F3" s="307"/>
      <c r="G3" s="307">
        <v>12.197193745253209</v>
      </c>
      <c r="H3" s="308">
        <f>SUM(I3:K3)</f>
        <v>0</v>
      </c>
      <c r="I3" s="309"/>
      <c r="J3" s="310"/>
      <c r="K3" s="311"/>
      <c r="L3" s="308">
        <f>SUM(M3:Z3)</f>
        <v>9138.5577999094057</v>
      </c>
      <c r="M3" s="309">
        <v>3053.4742963851995</v>
      </c>
      <c r="N3" s="309">
        <v>16.633377499200002</v>
      </c>
      <c r="O3" s="311">
        <v>0</v>
      </c>
      <c r="P3" s="311">
        <v>564.2364083333332</v>
      </c>
      <c r="Q3" s="311">
        <v>369.14638715136005</v>
      </c>
      <c r="R3" s="311">
        <v>1542.2444022448799</v>
      </c>
      <c r="S3" s="311">
        <v>82.827948630790956</v>
      </c>
      <c r="T3" s="311">
        <v>157.5463640726893</v>
      </c>
      <c r="U3" s="311">
        <v>2932.6955801163149</v>
      </c>
      <c r="V3" s="311">
        <v>166.37647928144222</v>
      </c>
      <c r="W3" s="307">
        <v>7.5616539426795564</v>
      </c>
      <c r="X3" s="307">
        <v>200.83222211696253</v>
      </c>
      <c r="Y3" s="307">
        <v>1.2281470084248403</v>
      </c>
      <c r="Z3" s="311">
        <v>43.754533126130625</v>
      </c>
      <c r="AA3" s="308">
        <v>1728.338063506957</v>
      </c>
      <c r="AB3" s="312">
        <f>SUM(AC3:AM3)</f>
        <v>151.93355907200862</v>
      </c>
      <c r="AC3" s="313"/>
      <c r="AD3" s="311"/>
      <c r="AE3" s="311">
        <v>24.282116302936618</v>
      </c>
      <c r="AF3" s="311"/>
      <c r="AG3" s="311"/>
      <c r="AH3" s="311"/>
      <c r="AI3" s="311">
        <v>104.81441230492801</v>
      </c>
      <c r="AJ3" s="311">
        <v>22.837030464144</v>
      </c>
      <c r="AK3" s="309"/>
      <c r="AL3" s="309"/>
      <c r="AM3" s="307"/>
      <c r="AN3" s="314"/>
      <c r="AO3" s="314">
        <v>139.45061680000001</v>
      </c>
      <c r="AP3" s="312"/>
      <c r="AQ3" s="315">
        <f t="shared" ref="AQ3:AQ20" si="0">C3+H3+L3+AA3+AB3+AN3+AO3+AP3</f>
        <v>12061.7747018392</v>
      </c>
    </row>
    <row r="4" spans="1:43">
      <c r="A4" s="302" t="s">
        <v>195</v>
      </c>
      <c r="B4" s="303"/>
      <c r="C4" s="304">
        <f>SUM(D4:G4)</f>
        <v>15.186580890896002</v>
      </c>
      <c r="D4" s="305">
        <v>0</v>
      </c>
      <c r="E4" s="316">
        <v>14.097722162000002</v>
      </c>
      <c r="F4" s="307"/>
      <c r="G4" s="307">
        <v>1.0888587288959999</v>
      </c>
      <c r="H4" s="308">
        <f>SUM(I4:K4)</f>
        <v>7.0330680000000001</v>
      </c>
      <c r="I4" s="309"/>
      <c r="J4" s="310"/>
      <c r="K4" s="311">
        <v>7.0330680000000001</v>
      </c>
      <c r="L4" s="308">
        <f>SUM(M4:Z4)</f>
        <v>1717.0624747879344</v>
      </c>
      <c r="M4" s="309">
        <v>0</v>
      </c>
      <c r="N4" s="309">
        <v>0</v>
      </c>
      <c r="O4" s="311"/>
      <c r="P4" s="311">
        <v>364.52221864444448</v>
      </c>
      <c r="Q4" s="311">
        <v>21.672508399360005</v>
      </c>
      <c r="R4" s="311">
        <v>156.29379915984001</v>
      </c>
      <c r="S4" s="311">
        <v>986.60611760112999</v>
      </c>
      <c r="T4" s="311">
        <v>35.289733288720633</v>
      </c>
      <c r="U4" s="311">
        <v>102.14625414775992</v>
      </c>
      <c r="V4" s="311">
        <v>2.9088437938490893E-3</v>
      </c>
      <c r="W4" s="307">
        <v>36.297317128453038</v>
      </c>
      <c r="X4" s="307">
        <v>5.4694689952000006</v>
      </c>
      <c r="Y4" s="307">
        <v>1.8500297569930473E-2</v>
      </c>
      <c r="Z4" s="311">
        <v>8.7436482816626366</v>
      </c>
      <c r="AA4" s="308">
        <v>0</v>
      </c>
      <c r="AB4" s="312">
        <f>SUM(AC4:AM4)</f>
        <v>9.4476585178560004</v>
      </c>
      <c r="AC4" s="313"/>
      <c r="AD4" s="311"/>
      <c r="AE4" s="311">
        <v>0.41264639999999991</v>
      </c>
      <c r="AF4" s="311"/>
      <c r="AG4" s="311"/>
      <c r="AH4" s="311"/>
      <c r="AI4" s="311">
        <v>9.0350121178560006</v>
      </c>
      <c r="AJ4" s="311">
        <v>0</v>
      </c>
      <c r="AK4" s="309"/>
      <c r="AL4" s="309"/>
      <c r="AM4" s="307"/>
      <c r="AN4" s="314"/>
      <c r="AO4" s="314">
        <v>141.83539077999998</v>
      </c>
      <c r="AP4" s="312"/>
      <c r="AQ4" s="315">
        <f t="shared" si="0"/>
        <v>1890.5651729766864</v>
      </c>
    </row>
    <row r="5" spans="1:43">
      <c r="A5" s="302" t="s">
        <v>196</v>
      </c>
      <c r="B5" s="303"/>
      <c r="C5" s="304">
        <f>SUM(D5:G5)</f>
        <v>0</v>
      </c>
      <c r="D5" s="305"/>
      <c r="E5" s="316"/>
      <c r="F5" s="307"/>
      <c r="G5" s="307"/>
      <c r="H5" s="308">
        <f>SUM(I5:K5)</f>
        <v>0</v>
      </c>
      <c r="I5" s="309"/>
      <c r="J5" s="310"/>
      <c r="K5" s="311"/>
      <c r="L5" s="308">
        <f>SUM(M5:Z5)</f>
        <v>172.71258946798309</v>
      </c>
      <c r="M5" s="309"/>
      <c r="N5" s="309"/>
      <c r="O5" s="311"/>
      <c r="P5" s="311"/>
      <c r="Q5" s="311"/>
      <c r="R5" s="311"/>
      <c r="S5" s="311">
        <v>15.730078096892656</v>
      </c>
      <c r="T5" s="311"/>
      <c r="U5" s="311">
        <v>156.98251137109042</v>
      </c>
      <c r="V5" s="311"/>
      <c r="W5" s="307"/>
      <c r="X5" s="307"/>
      <c r="Y5" s="307"/>
      <c r="Z5" s="311"/>
      <c r="AA5" s="308"/>
      <c r="AB5" s="312">
        <f>SUM(AC5:AM5)</f>
        <v>0</v>
      </c>
      <c r="AC5" s="313"/>
      <c r="AD5" s="311"/>
      <c r="AE5" s="311"/>
      <c r="AF5" s="311"/>
      <c r="AG5" s="311"/>
      <c r="AH5" s="311"/>
      <c r="AI5" s="311"/>
      <c r="AJ5" s="311"/>
      <c r="AK5" s="309"/>
      <c r="AL5" s="309"/>
      <c r="AM5" s="307"/>
      <c r="AN5" s="314"/>
      <c r="AO5" s="314"/>
      <c r="AP5" s="312"/>
      <c r="AQ5" s="315">
        <f t="shared" si="0"/>
        <v>172.71258946798309</v>
      </c>
    </row>
    <row r="6" spans="1:43" ht="13.8" thickBot="1">
      <c r="A6" s="317" t="s">
        <v>197</v>
      </c>
      <c r="B6" s="318"/>
      <c r="C6" s="304">
        <f>SUM(D6:G6)</f>
        <v>-101.25634942971131</v>
      </c>
      <c r="D6" s="319">
        <v>-101.869888772661</v>
      </c>
      <c r="E6" s="307">
        <v>-0.8079766727235479</v>
      </c>
      <c r="F6" s="320"/>
      <c r="G6" s="320">
        <v>1.4215160156732278</v>
      </c>
      <c r="H6" s="321">
        <f>SUM(I6:K6)</f>
        <v>-122.93905189963694</v>
      </c>
      <c r="I6" s="322">
        <v>-136.53826589963694</v>
      </c>
      <c r="J6" s="323">
        <v>0</v>
      </c>
      <c r="K6" s="322">
        <v>13.599214000000003</v>
      </c>
      <c r="L6" s="321">
        <f>SUM(M6:Z6)</f>
        <v>151.33981188504902</v>
      </c>
      <c r="M6" s="309">
        <v>38.730964773999993</v>
      </c>
      <c r="N6" s="309">
        <v>-8.8751519999999999</v>
      </c>
      <c r="O6" s="311"/>
      <c r="P6" s="311">
        <v>-9.6980083333333713</v>
      </c>
      <c r="Q6" s="311">
        <v>12.883201938880001</v>
      </c>
      <c r="R6" s="311">
        <v>82.12024884504001</v>
      </c>
      <c r="S6" s="311">
        <v>23.637599999999999</v>
      </c>
      <c r="T6" s="311">
        <v>1.4659197380156652</v>
      </c>
      <c r="U6" s="311">
        <v>8.3874136006762399</v>
      </c>
      <c r="V6" s="311">
        <v>3.2040911090633046</v>
      </c>
      <c r="W6" s="320">
        <v>-0.51646778729281662</v>
      </c>
      <c r="X6" s="320">
        <v>0</v>
      </c>
      <c r="Y6" s="320">
        <v>0</v>
      </c>
      <c r="Z6" s="322">
        <v>0</v>
      </c>
      <c r="AA6" s="321">
        <v>0</v>
      </c>
      <c r="AB6" s="324">
        <f>SUM(AC6:AM6)</f>
        <v>4.4601014379600006</v>
      </c>
      <c r="AC6" s="325"/>
      <c r="AD6" s="326"/>
      <c r="AE6" s="326">
        <v>0.26707427819999968</v>
      </c>
      <c r="AF6" s="326"/>
      <c r="AG6" s="326"/>
      <c r="AH6" s="326"/>
      <c r="AI6" s="326">
        <v>1.7828522013120007</v>
      </c>
      <c r="AJ6" s="326">
        <v>2.4101749584479997</v>
      </c>
      <c r="AK6" s="322"/>
      <c r="AL6" s="322"/>
      <c r="AM6" s="320"/>
      <c r="AN6" s="327"/>
      <c r="AO6" s="327"/>
      <c r="AP6" s="324"/>
      <c r="AQ6" s="328">
        <f t="shared" si="0"/>
        <v>-68.395488006339221</v>
      </c>
    </row>
    <row r="7" spans="1:43">
      <c r="A7" s="329" t="s">
        <v>198</v>
      </c>
      <c r="B7" s="330"/>
      <c r="C7" s="331">
        <f t="shared" ref="C7:AP7" si="1">C2+C3-C4-C5+C6</f>
        <v>787.05173223022086</v>
      </c>
      <c r="D7" s="332">
        <f t="shared" si="1"/>
        <v>727.70471229823943</v>
      </c>
      <c r="E7" s="333">
        <f t="shared" si="1"/>
        <v>46.817168899951085</v>
      </c>
      <c r="F7" s="333">
        <f t="shared" si="1"/>
        <v>0</v>
      </c>
      <c r="G7" s="333">
        <f t="shared" si="1"/>
        <v>12.529851032030438</v>
      </c>
      <c r="H7" s="334">
        <f t="shared" si="1"/>
        <v>685.95222908664709</v>
      </c>
      <c r="I7" s="332">
        <f t="shared" si="1"/>
        <v>551.68208308664714</v>
      </c>
      <c r="J7" s="335">
        <f t="shared" si="1"/>
        <v>127.70399999999999</v>
      </c>
      <c r="K7" s="333">
        <f t="shared" si="1"/>
        <v>6.5661460000000034</v>
      </c>
      <c r="L7" s="334">
        <f t="shared" si="1"/>
        <v>7400.1225475385372</v>
      </c>
      <c r="M7" s="332">
        <f t="shared" si="1"/>
        <v>3092.2052611591994</v>
      </c>
      <c r="N7" s="332">
        <f t="shared" si="1"/>
        <v>7.7582254992000017</v>
      </c>
      <c r="O7" s="333">
        <f t="shared" si="1"/>
        <v>0</v>
      </c>
      <c r="P7" s="333">
        <f t="shared" si="1"/>
        <v>190.01618135555535</v>
      </c>
      <c r="Q7" s="333">
        <f t="shared" si="1"/>
        <v>360.35708069088003</v>
      </c>
      <c r="R7" s="333">
        <f t="shared" si="1"/>
        <v>1468.0708519300797</v>
      </c>
      <c r="S7" s="333">
        <f t="shared" si="1"/>
        <v>-895.87064706723163</v>
      </c>
      <c r="T7" s="333">
        <f t="shared" si="1"/>
        <v>123.72255052198433</v>
      </c>
      <c r="U7" s="333">
        <f t="shared" si="1"/>
        <v>2681.9542281981408</v>
      </c>
      <c r="V7" s="333">
        <f t="shared" si="1"/>
        <v>169.57766154671168</v>
      </c>
      <c r="W7" s="333">
        <f t="shared" si="1"/>
        <v>-29.252130973066301</v>
      </c>
      <c r="X7" s="333">
        <f t="shared" si="1"/>
        <v>195.36275312176252</v>
      </c>
      <c r="Y7" s="333">
        <f t="shared" si="1"/>
        <v>1.2096467108549098</v>
      </c>
      <c r="Z7" s="333">
        <f t="shared" si="1"/>
        <v>35.010884844467988</v>
      </c>
      <c r="AA7" s="334">
        <f t="shared" si="1"/>
        <v>4480.2572507256682</v>
      </c>
      <c r="AB7" s="334">
        <f t="shared" si="1"/>
        <v>1481.6042993098815</v>
      </c>
      <c r="AC7" s="332">
        <f t="shared" si="1"/>
        <v>59.691708987970003</v>
      </c>
      <c r="AD7" s="333">
        <f t="shared" si="1"/>
        <v>743.01992281532614</v>
      </c>
      <c r="AE7" s="333">
        <f t="shared" si="1"/>
        <v>273.04514180129252</v>
      </c>
      <c r="AF7" s="333">
        <f t="shared" si="1"/>
        <v>139.99992739520798</v>
      </c>
      <c r="AG7" s="333">
        <f t="shared" si="1"/>
        <v>33.531818868055431</v>
      </c>
      <c r="AH7" s="333">
        <f t="shared" si="1"/>
        <v>16.813132576534866</v>
      </c>
      <c r="AI7" s="333">
        <f t="shared" si="1"/>
        <v>128.62672037577602</v>
      </c>
      <c r="AJ7" s="333">
        <f t="shared" si="1"/>
        <v>27.916404744672001</v>
      </c>
      <c r="AK7" s="336">
        <f t="shared" si="1"/>
        <v>1.8899880806415161</v>
      </c>
      <c r="AL7" s="336">
        <f t="shared" si="1"/>
        <v>13.54608560366562</v>
      </c>
      <c r="AM7" s="332">
        <f t="shared" si="1"/>
        <v>43.523448060739646</v>
      </c>
      <c r="AN7" s="334">
        <f t="shared" si="1"/>
        <v>145.43710297949829</v>
      </c>
      <c r="AO7" s="334">
        <f t="shared" si="1"/>
        <v>-2.3847739799999772</v>
      </c>
      <c r="AP7" s="337">
        <f t="shared" si="1"/>
        <v>0</v>
      </c>
      <c r="AQ7" s="338">
        <f t="shared" si="0"/>
        <v>14978.040387890453</v>
      </c>
    </row>
    <row r="8" spans="1:43" ht="13.8" thickBot="1">
      <c r="A8" s="339" t="s">
        <v>199</v>
      </c>
      <c r="B8" s="340"/>
      <c r="C8" s="341">
        <f t="shared" ref="C8:AP8" si="2">C7-C27</f>
        <v>787.05173223022086</v>
      </c>
      <c r="D8" s="342">
        <f t="shared" si="2"/>
        <v>727.70471229823943</v>
      </c>
      <c r="E8" s="343">
        <f t="shared" si="2"/>
        <v>46.817168899951085</v>
      </c>
      <c r="F8" s="344">
        <f t="shared" si="2"/>
        <v>0</v>
      </c>
      <c r="G8" s="344">
        <f t="shared" si="2"/>
        <v>12.529851032030438</v>
      </c>
      <c r="H8" s="345">
        <f t="shared" si="2"/>
        <v>685.95222908664709</v>
      </c>
      <c r="I8" s="342">
        <f t="shared" si="2"/>
        <v>551.68208308664714</v>
      </c>
      <c r="J8" s="346">
        <f t="shared" si="2"/>
        <v>127.70399999999999</v>
      </c>
      <c r="K8" s="343">
        <f t="shared" si="2"/>
        <v>6.5661460000000034</v>
      </c>
      <c r="L8" s="345">
        <f t="shared" si="2"/>
        <v>7400.1225475385372</v>
      </c>
      <c r="M8" s="342">
        <f t="shared" si="2"/>
        <v>3092.2052611591994</v>
      </c>
      <c r="N8" s="342">
        <f t="shared" si="2"/>
        <v>7.7582254992000017</v>
      </c>
      <c r="O8" s="343">
        <f t="shared" si="2"/>
        <v>0</v>
      </c>
      <c r="P8" s="343">
        <f t="shared" si="2"/>
        <v>190.01618135555535</v>
      </c>
      <c r="Q8" s="343">
        <f t="shared" si="2"/>
        <v>360.35708069088003</v>
      </c>
      <c r="R8" s="343">
        <f t="shared" si="2"/>
        <v>1468.0708519300797</v>
      </c>
      <c r="S8" s="343">
        <f t="shared" si="2"/>
        <v>-895.87064706723163</v>
      </c>
      <c r="T8" s="343">
        <f t="shared" si="2"/>
        <v>123.72255052198433</v>
      </c>
      <c r="U8" s="343">
        <f t="shared" si="2"/>
        <v>2681.9542281981408</v>
      </c>
      <c r="V8" s="343">
        <f t="shared" si="2"/>
        <v>169.57766154671168</v>
      </c>
      <c r="W8" s="344">
        <f t="shared" si="2"/>
        <v>-29.252130973066301</v>
      </c>
      <c r="X8" s="344">
        <f t="shared" si="2"/>
        <v>195.36275312176252</v>
      </c>
      <c r="Y8" s="344">
        <f t="shared" si="2"/>
        <v>1.2096467108549098</v>
      </c>
      <c r="Z8" s="343">
        <f t="shared" si="2"/>
        <v>35.010884844467988</v>
      </c>
      <c r="AA8" s="345">
        <f t="shared" si="2"/>
        <v>4480.2572507256682</v>
      </c>
      <c r="AB8" s="347">
        <f t="shared" si="2"/>
        <v>1481.6042993098815</v>
      </c>
      <c r="AC8" s="342">
        <f t="shared" si="2"/>
        <v>59.691708987970003</v>
      </c>
      <c r="AD8" s="343">
        <f t="shared" si="2"/>
        <v>743.01992281532614</v>
      </c>
      <c r="AE8" s="343">
        <f t="shared" si="2"/>
        <v>273.04514180129252</v>
      </c>
      <c r="AF8" s="343">
        <f t="shared" si="2"/>
        <v>139.99992739520798</v>
      </c>
      <c r="AG8" s="343">
        <f t="shared" si="2"/>
        <v>33.531818868055431</v>
      </c>
      <c r="AH8" s="343">
        <f t="shared" si="2"/>
        <v>16.813132576534866</v>
      </c>
      <c r="AI8" s="343">
        <f t="shared" si="2"/>
        <v>128.62672037577602</v>
      </c>
      <c r="AJ8" s="343">
        <f t="shared" si="2"/>
        <v>27.916404744672001</v>
      </c>
      <c r="AK8" s="348">
        <f t="shared" si="2"/>
        <v>1.8899880806415161</v>
      </c>
      <c r="AL8" s="348">
        <f t="shared" si="2"/>
        <v>13.54608560366562</v>
      </c>
      <c r="AM8" s="342">
        <f t="shared" si="2"/>
        <v>43.523448060739646</v>
      </c>
      <c r="AN8" s="345">
        <f t="shared" si="2"/>
        <v>145.43710297949829</v>
      </c>
      <c r="AO8" s="345">
        <f t="shared" si="2"/>
        <v>-2.3847739799999772</v>
      </c>
      <c r="AP8" s="342">
        <f t="shared" si="2"/>
        <v>0</v>
      </c>
      <c r="AQ8" s="349">
        <f t="shared" si="0"/>
        <v>14978.040387890453</v>
      </c>
    </row>
    <row r="9" spans="1:43">
      <c r="A9" s="329" t="s">
        <v>200</v>
      </c>
      <c r="B9" s="330"/>
      <c r="C9" s="331">
        <f t="shared" ref="C9:AP9" si="3">SUM(C10:C14)</f>
        <v>489.13419536754503</v>
      </c>
      <c r="D9" s="336">
        <f t="shared" si="3"/>
        <v>489.13419536754503</v>
      </c>
      <c r="E9" s="333">
        <f t="shared" si="3"/>
        <v>0</v>
      </c>
      <c r="F9" s="350">
        <f t="shared" si="3"/>
        <v>0</v>
      </c>
      <c r="G9" s="350">
        <f t="shared" si="3"/>
        <v>0</v>
      </c>
      <c r="H9" s="334">
        <f t="shared" si="3"/>
        <v>541.02658367795425</v>
      </c>
      <c r="I9" s="336">
        <f t="shared" si="3"/>
        <v>541.02658367795425</v>
      </c>
      <c r="J9" s="335">
        <f t="shared" si="3"/>
        <v>0</v>
      </c>
      <c r="K9" s="333">
        <f t="shared" si="3"/>
        <v>0</v>
      </c>
      <c r="L9" s="334">
        <f t="shared" si="3"/>
        <v>3165.7216476484605</v>
      </c>
      <c r="M9" s="333">
        <f t="shared" si="3"/>
        <v>3092.2052611591994</v>
      </c>
      <c r="N9" s="333">
        <f t="shared" ref="N9" si="4">SUM(N10:N14)</f>
        <v>38.786602361842682</v>
      </c>
      <c r="O9" s="333">
        <f t="shared" si="3"/>
        <v>0</v>
      </c>
      <c r="P9" s="333">
        <f t="shared" si="3"/>
        <v>0</v>
      </c>
      <c r="Q9" s="333">
        <f t="shared" si="3"/>
        <v>0</v>
      </c>
      <c r="R9" s="333">
        <f t="shared" si="3"/>
        <v>0</v>
      </c>
      <c r="S9" s="333">
        <f t="shared" si="3"/>
        <v>25.868327226603597</v>
      </c>
      <c r="T9" s="333">
        <f t="shared" si="3"/>
        <v>0.63499472294399995</v>
      </c>
      <c r="U9" s="333">
        <f t="shared" si="3"/>
        <v>8.2264621778709284</v>
      </c>
      <c r="V9" s="333">
        <f t="shared" si="3"/>
        <v>0</v>
      </c>
      <c r="W9" s="350">
        <f t="shared" si="3"/>
        <v>0</v>
      </c>
      <c r="X9" s="350">
        <f t="shared" si="3"/>
        <v>0</v>
      </c>
      <c r="Y9" s="350">
        <f t="shared" si="3"/>
        <v>0</v>
      </c>
      <c r="Z9" s="333">
        <f t="shared" si="3"/>
        <v>0</v>
      </c>
      <c r="AA9" s="334">
        <f t="shared" si="3"/>
        <v>2501.2994242635782</v>
      </c>
      <c r="AB9" s="332">
        <f t="shared" si="3"/>
        <v>215.90352917717644</v>
      </c>
      <c r="AC9" s="351">
        <f t="shared" si="3"/>
        <v>0</v>
      </c>
      <c r="AD9" s="333">
        <f t="shared" si="3"/>
        <v>0</v>
      </c>
      <c r="AE9" s="333">
        <f t="shared" si="3"/>
        <v>76.028615684916531</v>
      </c>
      <c r="AF9" s="333">
        <f t="shared" ref="AF9" si="5">SUM(AF10:AF14)</f>
        <v>99.30702317107577</v>
      </c>
      <c r="AG9" s="333">
        <f t="shared" si="3"/>
        <v>33.531818868055431</v>
      </c>
      <c r="AH9" s="333">
        <f t="shared" si="3"/>
        <v>7.0360714531287174</v>
      </c>
      <c r="AI9" s="333">
        <f t="shared" si="3"/>
        <v>0</v>
      </c>
      <c r="AJ9" s="333">
        <f t="shared" ref="AJ9" si="6">SUM(AJ10:AJ14)</f>
        <v>0</v>
      </c>
      <c r="AK9" s="336">
        <f t="shared" si="3"/>
        <v>0</v>
      </c>
      <c r="AL9" s="336">
        <f t="shared" ref="AL9" si="7">SUM(AL10:AL14)</f>
        <v>0</v>
      </c>
      <c r="AM9" s="350">
        <f t="shared" si="3"/>
        <v>0</v>
      </c>
      <c r="AN9" s="334">
        <f t="shared" si="3"/>
        <v>90.714163374524205</v>
      </c>
      <c r="AO9" s="334">
        <f t="shared" si="3"/>
        <v>54.38453208</v>
      </c>
      <c r="AP9" s="332">
        <f t="shared" si="3"/>
        <v>0</v>
      </c>
      <c r="AQ9" s="352">
        <f t="shared" si="0"/>
        <v>7058.184075589239</v>
      </c>
    </row>
    <row r="10" spans="1:43">
      <c r="A10" s="353" t="s">
        <v>605</v>
      </c>
      <c r="B10" s="354"/>
      <c r="C10" s="355">
        <f>SUM(D10:G10)</f>
        <v>489.13419536754503</v>
      </c>
      <c r="D10" s="356">
        <v>489.13419536754503</v>
      </c>
      <c r="E10" s="357"/>
      <c r="F10" s="358"/>
      <c r="G10" s="358"/>
      <c r="H10" s="359">
        <f>SUM(I10:K10)</f>
        <v>467.10845991760607</v>
      </c>
      <c r="I10" s="356">
        <v>467.10845991760607</v>
      </c>
      <c r="J10" s="360">
        <v>0</v>
      </c>
      <c r="K10" s="357"/>
      <c r="L10" s="359">
        <f>SUM(M10:Z10)</f>
        <v>34.094789404474525</v>
      </c>
      <c r="M10" s="357"/>
      <c r="N10" s="357"/>
      <c r="O10" s="357"/>
      <c r="P10" s="357"/>
      <c r="Q10" s="357"/>
      <c r="R10" s="357"/>
      <c r="S10" s="357">
        <v>25.868327226603597</v>
      </c>
      <c r="T10" s="357"/>
      <c r="U10" s="357">
        <v>8.2264621778709284</v>
      </c>
      <c r="V10" s="357"/>
      <c r="W10" s="358"/>
      <c r="X10" s="358"/>
      <c r="Y10" s="358"/>
      <c r="Z10" s="357"/>
      <c r="AA10" s="359">
        <v>2187.6033883210698</v>
      </c>
      <c r="AB10" s="361">
        <f>SUM(AC10:AM10)</f>
        <v>205.30590173319058</v>
      </c>
      <c r="AC10" s="362"/>
      <c r="AD10" s="357"/>
      <c r="AE10" s="357">
        <v>72.467059694059387</v>
      </c>
      <c r="AF10" s="357">
        <v>99.30702317107577</v>
      </c>
      <c r="AG10" s="357">
        <v>33.531818868055431</v>
      </c>
      <c r="AH10" s="357"/>
      <c r="AI10" s="357"/>
      <c r="AJ10" s="357"/>
      <c r="AK10" s="356"/>
      <c r="AL10" s="356"/>
      <c r="AM10" s="358"/>
      <c r="AN10" s="363">
        <v>90.714163374524205</v>
      </c>
      <c r="AO10" s="359"/>
      <c r="AP10" s="361"/>
      <c r="AQ10" s="364">
        <f t="shared" si="0"/>
        <v>3473.9608981184101</v>
      </c>
    </row>
    <row r="11" spans="1:43">
      <c r="A11" s="302" t="s">
        <v>606</v>
      </c>
      <c r="B11" s="303"/>
      <c r="C11" s="304">
        <f>SUM(D11:G11)</f>
        <v>0</v>
      </c>
      <c r="D11" s="309">
        <v>0</v>
      </c>
      <c r="E11" s="311"/>
      <c r="F11" s="307"/>
      <c r="G11" s="307"/>
      <c r="H11" s="308">
        <f>SUM(I11:K11)</f>
        <v>5.8425469182429177</v>
      </c>
      <c r="I11" s="309">
        <v>5.8425469182429177</v>
      </c>
      <c r="J11" s="310"/>
      <c r="K11" s="311"/>
      <c r="L11" s="308">
        <f>SUM(M11:Z11)</f>
        <v>0.63499472294399995</v>
      </c>
      <c r="M11" s="311"/>
      <c r="N11" s="365"/>
      <c r="O11" s="365">
        <v>0</v>
      </c>
      <c r="P11" s="311"/>
      <c r="Q11" s="311"/>
      <c r="R11" s="311"/>
      <c r="S11" s="311">
        <v>0</v>
      </c>
      <c r="T11" s="311">
        <v>0.63499472294399995</v>
      </c>
      <c r="U11" s="311">
        <v>0</v>
      </c>
      <c r="V11" s="311"/>
      <c r="W11" s="307"/>
      <c r="X11" s="307"/>
      <c r="Y11" s="307"/>
      <c r="Z11" s="311"/>
      <c r="AA11" s="308">
        <v>272.96145103491432</v>
      </c>
      <c r="AB11" s="312">
        <f>SUM(AC11:AM11)</f>
        <v>10.597627443985861</v>
      </c>
      <c r="AC11" s="313"/>
      <c r="AD11" s="311"/>
      <c r="AE11" s="311">
        <v>3.5615559908571428</v>
      </c>
      <c r="AF11" s="311"/>
      <c r="AG11" s="311"/>
      <c r="AH11" s="311">
        <v>7.0360714531287174</v>
      </c>
      <c r="AI11" s="311"/>
      <c r="AJ11" s="311"/>
      <c r="AK11" s="309"/>
      <c r="AL11" s="309"/>
      <c r="AM11" s="307"/>
      <c r="AN11" s="314"/>
      <c r="AO11" s="314"/>
      <c r="AP11" s="312"/>
      <c r="AQ11" s="315">
        <f t="shared" si="0"/>
        <v>290.03662012008709</v>
      </c>
    </row>
    <row r="12" spans="1:43">
      <c r="A12" s="302" t="s">
        <v>607</v>
      </c>
      <c r="B12" s="303"/>
      <c r="C12" s="304"/>
      <c r="D12" s="309"/>
      <c r="E12" s="311"/>
      <c r="F12" s="307"/>
      <c r="G12" s="307"/>
      <c r="H12" s="308"/>
      <c r="I12" s="309"/>
      <c r="J12" s="310"/>
      <c r="K12" s="311"/>
      <c r="L12" s="308"/>
      <c r="M12" s="311"/>
      <c r="N12" s="365"/>
      <c r="O12" s="365"/>
      <c r="P12" s="311"/>
      <c r="Q12" s="311"/>
      <c r="R12" s="311"/>
      <c r="S12" s="311"/>
      <c r="T12" s="311"/>
      <c r="U12" s="311"/>
      <c r="V12" s="311"/>
      <c r="W12" s="307"/>
      <c r="X12" s="307"/>
      <c r="Y12" s="307"/>
      <c r="Z12" s="311"/>
      <c r="AA12" s="308"/>
      <c r="AB12" s="312"/>
      <c r="AC12" s="313"/>
      <c r="AD12" s="311"/>
      <c r="AE12" s="311"/>
      <c r="AF12" s="311"/>
      <c r="AG12" s="311"/>
      <c r="AH12" s="311"/>
      <c r="AI12" s="311"/>
      <c r="AJ12" s="311"/>
      <c r="AK12" s="309"/>
      <c r="AL12" s="309"/>
      <c r="AM12" s="307"/>
      <c r="AN12" s="314"/>
      <c r="AO12" s="314">
        <v>42.942060079999997</v>
      </c>
      <c r="AP12" s="312"/>
      <c r="AQ12" s="315">
        <f t="shared" si="0"/>
        <v>42.942060079999997</v>
      </c>
    </row>
    <row r="13" spans="1:43">
      <c r="A13" s="302" t="s">
        <v>608</v>
      </c>
      <c r="B13" s="303"/>
      <c r="C13" s="304">
        <f>SUM(D13:G13)</f>
        <v>0</v>
      </c>
      <c r="D13" s="309"/>
      <c r="E13" s="307"/>
      <c r="F13" s="307"/>
      <c r="G13" s="307"/>
      <c r="H13" s="308">
        <f>SUM(I13:K13)</f>
        <v>68.075576842105264</v>
      </c>
      <c r="I13" s="309">
        <v>68.075576842105264</v>
      </c>
      <c r="J13" s="310"/>
      <c r="K13" s="311"/>
      <c r="L13" s="308">
        <f>SUM(M13:Z13)</f>
        <v>0</v>
      </c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07"/>
      <c r="X13" s="307"/>
      <c r="Y13" s="307"/>
      <c r="Z13" s="311"/>
      <c r="AA13" s="308"/>
      <c r="AB13" s="312">
        <f>SUM(AC13:AM13)</f>
        <v>0</v>
      </c>
      <c r="AC13" s="313"/>
      <c r="AD13" s="311"/>
      <c r="AE13" s="311"/>
      <c r="AF13" s="311"/>
      <c r="AG13" s="311"/>
      <c r="AH13" s="311"/>
      <c r="AI13" s="311"/>
      <c r="AJ13" s="311"/>
      <c r="AK13" s="309"/>
      <c r="AL13" s="309"/>
      <c r="AM13" s="307"/>
      <c r="AN13" s="314"/>
      <c r="AO13" s="314"/>
      <c r="AP13" s="312"/>
      <c r="AQ13" s="315">
        <f t="shared" si="0"/>
        <v>68.075576842105264</v>
      </c>
    </row>
    <row r="14" spans="1:43">
      <c r="A14" s="366" t="s">
        <v>609</v>
      </c>
      <c r="B14" s="367"/>
      <c r="C14" s="368">
        <f>SUM(D14:G14)</f>
        <v>0</v>
      </c>
      <c r="D14" s="369"/>
      <c r="E14" s="370"/>
      <c r="F14" s="371"/>
      <c r="G14" s="371"/>
      <c r="H14" s="372">
        <f>SUM(I14:K14)</f>
        <v>0</v>
      </c>
      <c r="I14" s="369"/>
      <c r="J14" s="373"/>
      <c r="K14" s="370"/>
      <c r="L14" s="372">
        <f>SUM(M14:Z14)</f>
        <v>3130.991863521042</v>
      </c>
      <c r="M14" s="370">
        <v>3092.2052611591994</v>
      </c>
      <c r="N14" s="370">
        <v>38.786602361842682</v>
      </c>
      <c r="O14" s="370"/>
      <c r="P14" s="370"/>
      <c r="Q14" s="370"/>
      <c r="R14" s="370"/>
      <c r="S14" s="370"/>
      <c r="T14" s="370"/>
      <c r="U14" s="370"/>
      <c r="V14" s="370"/>
      <c r="W14" s="371"/>
      <c r="X14" s="371"/>
      <c r="Y14" s="371"/>
      <c r="Z14" s="370"/>
      <c r="AA14" s="372">
        <v>40.734584907594211</v>
      </c>
      <c r="AB14" s="374">
        <f>SUM(AC14:AM14)</f>
        <v>0</v>
      </c>
      <c r="AC14" s="375"/>
      <c r="AD14" s="370"/>
      <c r="AE14" s="370"/>
      <c r="AF14" s="370"/>
      <c r="AG14" s="370"/>
      <c r="AH14" s="370"/>
      <c r="AI14" s="370"/>
      <c r="AJ14" s="370"/>
      <c r="AK14" s="369"/>
      <c r="AL14" s="369"/>
      <c r="AM14" s="371"/>
      <c r="AN14" s="376"/>
      <c r="AO14" s="376">
        <v>11.442471999999999</v>
      </c>
      <c r="AP14" s="374"/>
      <c r="AQ14" s="377">
        <f t="shared" si="0"/>
        <v>3183.1689204286363</v>
      </c>
    </row>
    <row r="15" spans="1:43">
      <c r="A15" s="378" t="s">
        <v>201</v>
      </c>
      <c r="B15" s="379"/>
      <c r="C15" s="380">
        <f t="shared" ref="C15:AP15" si="8">SUM(C16:C20)</f>
        <v>0</v>
      </c>
      <c r="D15" s="381">
        <f t="shared" si="8"/>
        <v>0</v>
      </c>
      <c r="E15" s="382">
        <f t="shared" si="8"/>
        <v>0</v>
      </c>
      <c r="F15" s="383">
        <f t="shared" si="8"/>
        <v>0</v>
      </c>
      <c r="G15" s="383">
        <f t="shared" si="8"/>
        <v>0</v>
      </c>
      <c r="H15" s="384">
        <f t="shared" si="8"/>
        <v>64.671797999999995</v>
      </c>
      <c r="I15" s="381">
        <f t="shared" si="8"/>
        <v>0</v>
      </c>
      <c r="J15" s="385">
        <f t="shared" si="8"/>
        <v>0</v>
      </c>
      <c r="K15" s="382">
        <f t="shared" si="8"/>
        <v>64.671797999999995</v>
      </c>
      <c r="L15" s="384">
        <f t="shared" si="8"/>
        <v>3166.7858692089685</v>
      </c>
      <c r="M15" s="382">
        <f t="shared" si="8"/>
        <v>0</v>
      </c>
      <c r="N15" s="382">
        <f t="shared" si="8"/>
        <v>0</v>
      </c>
      <c r="O15" s="382">
        <f t="shared" si="8"/>
        <v>90.017983923640699</v>
      </c>
      <c r="P15" s="382">
        <f t="shared" si="8"/>
        <v>640.53679657777786</v>
      </c>
      <c r="Q15" s="382">
        <f t="shared" si="8"/>
        <v>226.77459106847999</v>
      </c>
      <c r="R15" s="382">
        <f t="shared" si="8"/>
        <v>0</v>
      </c>
      <c r="S15" s="382">
        <f t="shared" si="8"/>
        <v>960.95017928079096</v>
      </c>
      <c r="T15" s="382">
        <f t="shared" si="8"/>
        <v>64.797462901984332</v>
      </c>
      <c r="U15" s="382">
        <f t="shared" si="8"/>
        <v>1146.9502117491124</v>
      </c>
      <c r="V15" s="382">
        <f t="shared" si="8"/>
        <v>0</v>
      </c>
      <c r="W15" s="383">
        <f t="shared" si="8"/>
        <v>36.758643707182323</v>
      </c>
      <c r="X15" s="383">
        <f t="shared" si="8"/>
        <v>0</v>
      </c>
      <c r="Y15" s="383">
        <f t="shared" si="8"/>
        <v>0</v>
      </c>
      <c r="Z15" s="382">
        <f t="shared" si="8"/>
        <v>0</v>
      </c>
      <c r="AA15" s="384">
        <f t="shared" si="8"/>
        <v>0</v>
      </c>
      <c r="AB15" s="386">
        <f t="shared" si="8"/>
        <v>0</v>
      </c>
      <c r="AC15" s="387">
        <f t="shared" si="8"/>
        <v>0</v>
      </c>
      <c r="AD15" s="382">
        <f t="shared" si="8"/>
        <v>0</v>
      </c>
      <c r="AE15" s="382">
        <f t="shared" si="8"/>
        <v>0</v>
      </c>
      <c r="AF15" s="382">
        <f t="shared" si="8"/>
        <v>0</v>
      </c>
      <c r="AG15" s="388">
        <f t="shared" si="8"/>
        <v>0</v>
      </c>
      <c r="AH15" s="388">
        <f t="shared" si="8"/>
        <v>0</v>
      </c>
      <c r="AI15" s="388">
        <f t="shared" si="8"/>
        <v>0</v>
      </c>
      <c r="AJ15" s="388">
        <f t="shared" si="8"/>
        <v>0</v>
      </c>
      <c r="AK15" s="381">
        <f t="shared" si="8"/>
        <v>0</v>
      </c>
      <c r="AL15" s="381">
        <f t="shared" si="8"/>
        <v>0</v>
      </c>
      <c r="AM15" s="383">
        <f t="shared" si="8"/>
        <v>0</v>
      </c>
      <c r="AN15" s="384">
        <f t="shared" si="8"/>
        <v>0</v>
      </c>
      <c r="AO15" s="384">
        <f t="shared" si="8"/>
        <v>1873.361490524092</v>
      </c>
      <c r="AP15" s="386">
        <f t="shared" si="8"/>
        <v>0</v>
      </c>
      <c r="AQ15" s="389">
        <f t="shared" si="0"/>
        <v>5104.8191577330599</v>
      </c>
    </row>
    <row r="16" spans="1:43">
      <c r="A16" s="353" t="s">
        <v>610</v>
      </c>
      <c r="B16" s="354"/>
      <c r="C16" s="355">
        <f>SUM(D16:G16)</f>
        <v>0</v>
      </c>
      <c r="D16" s="356"/>
      <c r="E16" s="357"/>
      <c r="F16" s="358"/>
      <c r="G16" s="358"/>
      <c r="H16" s="359">
        <f>SUM(I16:K16)</f>
        <v>0</v>
      </c>
      <c r="I16" s="356"/>
      <c r="J16" s="357"/>
      <c r="K16" s="357"/>
      <c r="L16" s="359">
        <f>SUM(M16:Z16)</f>
        <v>0</v>
      </c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8"/>
      <c r="X16" s="358"/>
      <c r="Y16" s="358"/>
      <c r="Z16" s="357"/>
      <c r="AA16" s="359"/>
      <c r="AB16" s="361">
        <f>SUM(AC16:AL16)</f>
        <v>0</v>
      </c>
      <c r="AC16" s="362"/>
      <c r="AD16" s="357"/>
      <c r="AE16" s="357"/>
      <c r="AF16" s="357"/>
      <c r="AG16" s="365"/>
      <c r="AH16" s="365"/>
      <c r="AI16" s="365"/>
      <c r="AJ16" s="365"/>
      <c r="AK16" s="356"/>
      <c r="AL16" s="356"/>
      <c r="AM16" s="358"/>
      <c r="AN16" s="363"/>
      <c r="AO16" s="363">
        <v>1667.7865923774164</v>
      </c>
      <c r="AP16" s="361"/>
      <c r="AQ16" s="390">
        <f>C16+H16+L16+AA16+AO16+AP16</f>
        <v>1667.7865923774164</v>
      </c>
    </row>
    <row r="17" spans="1:43">
      <c r="A17" s="302" t="s">
        <v>611</v>
      </c>
      <c r="B17" s="303"/>
      <c r="C17" s="304">
        <f>SUM(D17:G17)</f>
        <v>0</v>
      </c>
      <c r="D17" s="309"/>
      <c r="E17" s="311"/>
      <c r="F17" s="307"/>
      <c r="G17" s="307"/>
      <c r="H17" s="308">
        <f>SUM(I17:K17)</f>
        <v>0</v>
      </c>
      <c r="I17" s="309"/>
      <c r="J17" s="311"/>
      <c r="K17" s="311"/>
      <c r="L17" s="308">
        <f>SUM(M17:Z17)</f>
        <v>0</v>
      </c>
      <c r="M17" s="311"/>
      <c r="N17" s="311"/>
      <c r="O17" s="311"/>
      <c r="P17" s="311"/>
      <c r="Q17" s="311"/>
      <c r="R17" s="311"/>
      <c r="S17" s="311"/>
      <c r="T17" s="311"/>
      <c r="U17" s="311"/>
      <c r="V17" s="311"/>
      <c r="W17" s="307"/>
      <c r="X17" s="307"/>
      <c r="Y17" s="307"/>
      <c r="Z17" s="311"/>
      <c r="AA17" s="308"/>
      <c r="AB17" s="312">
        <f>SUM(AC17:AL17)</f>
        <v>0</v>
      </c>
      <c r="AC17" s="313"/>
      <c r="AD17" s="311"/>
      <c r="AE17" s="311"/>
      <c r="AF17" s="311"/>
      <c r="AG17" s="311"/>
      <c r="AH17" s="311"/>
      <c r="AI17" s="311"/>
      <c r="AJ17" s="311"/>
      <c r="AK17" s="309"/>
      <c r="AL17" s="309"/>
      <c r="AM17" s="307"/>
      <c r="AN17" s="314"/>
      <c r="AO17" s="391">
        <v>185.14395873624346</v>
      </c>
      <c r="AP17" s="312"/>
      <c r="AQ17" s="315">
        <f>C17+H17+L17+AA17+AO17+AP17</f>
        <v>185.14395873624346</v>
      </c>
    </row>
    <row r="18" spans="1:43">
      <c r="A18" s="302" t="s">
        <v>612</v>
      </c>
      <c r="B18" s="303"/>
      <c r="C18" s="304"/>
      <c r="D18" s="309"/>
      <c r="E18" s="311"/>
      <c r="F18" s="307"/>
      <c r="G18" s="307"/>
      <c r="H18" s="308"/>
      <c r="I18" s="309"/>
      <c r="J18" s="311"/>
      <c r="K18" s="311"/>
      <c r="L18" s="308"/>
      <c r="M18" s="311"/>
      <c r="N18" s="311"/>
      <c r="O18" s="311"/>
      <c r="P18" s="311"/>
      <c r="Q18" s="311"/>
      <c r="R18" s="311"/>
      <c r="S18" s="311"/>
      <c r="T18" s="311"/>
      <c r="U18" s="311"/>
      <c r="V18" s="311"/>
      <c r="W18" s="307"/>
      <c r="X18" s="307"/>
      <c r="Y18" s="307"/>
      <c r="Z18" s="311"/>
      <c r="AA18" s="308"/>
      <c r="AB18" s="312"/>
      <c r="AC18" s="313"/>
      <c r="AD18" s="311"/>
      <c r="AE18" s="311"/>
      <c r="AF18" s="311"/>
      <c r="AG18" s="311"/>
      <c r="AH18" s="311"/>
      <c r="AI18" s="311"/>
      <c r="AJ18" s="311"/>
      <c r="AK18" s="309"/>
      <c r="AL18" s="309"/>
      <c r="AM18" s="307"/>
      <c r="AN18" s="314"/>
      <c r="AO18" s="314">
        <v>20.430939410432</v>
      </c>
      <c r="AP18" s="312"/>
      <c r="AQ18" s="315">
        <f t="shared" si="0"/>
        <v>20.430939410432</v>
      </c>
    </row>
    <row r="19" spans="1:43">
      <c r="A19" s="302" t="s">
        <v>613</v>
      </c>
      <c r="B19" s="303"/>
      <c r="C19" s="304"/>
      <c r="D19" s="131"/>
      <c r="E19" s="311"/>
      <c r="F19" s="307"/>
      <c r="G19" s="307"/>
      <c r="H19" s="308">
        <f>SUM(I19:K19)</f>
        <v>64.671797999999995</v>
      </c>
      <c r="I19" s="309"/>
      <c r="J19" s="311"/>
      <c r="K19" s="311">
        <v>64.671797999999995</v>
      </c>
      <c r="L19" s="308">
        <f>SUM(M19:Z19)</f>
        <v>0</v>
      </c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07"/>
      <c r="X19" s="307"/>
      <c r="Y19" s="307"/>
      <c r="Z19" s="311"/>
      <c r="AA19" s="308"/>
      <c r="AB19" s="312">
        <f>SUM(AC19:AL19)</f>
        <v>0</v>
      </c>
      <c r="AC19" s="313"/>
      <c r="AD19" s="311"/>
      <c r="AE19" s="311"/>
      <c r="AF19" s="311"/>
      <c r="AG19" s="311"/>
      <c r="AH19" s="311"/>
      <c r="AI19" s="311"/>
      <c r="AJ19" s="311"/>
      <c r="AK19" s="309"/>
      <c r="AL19" s="309"/>
      <c r="AM19" s="307"/>
      <c r="AN19" s="314"/>
      <c r="AO19" s="314"/>
      <c r="AP19" s="312"/>
      <c r="AQ19" s="315">
        <f t="shared" si="0"/>
        <v>64.671797999999995</v>
      </c>
    </row>
    <row r="20" spans="1:43">
      <c r="A20" s="366" t="s">
        <v>614</v>
      </c>
      <c r="B20" s="367"/>
      <c r="C20" s="368"/>
      <c r="D20" s="369"/>
      <c r="E20" s="370"/>
      <c r="F20" s="371"/>
      <c r="G20" s="371"/>
      <c r="H20" s="372">
        <f>SUM(I20:K20)</f>
        <v>0</v>
      </c>
      <c r="I20" s="369"/>
      <c r="J20" s="370"/>
      <c r="K20" s="370"/>
      <c r="L20" s="372">
        <f>SUM(M20:Z20)</f>
        <v>3166.7858692089685</v>
      </c>
      <c r="M20" s="370"/>
      <c r="N20" s="370"/>
      <c r="O20" s="370">
        <v>90.017983923640699</v>
      </c>
      <c r="P20" s="370">
        <v>640.53679657777786</v>
      </c>
      <c r="Q20" s="370">
        <v>226.77459106847999</v>
      </c>
      <c r="R20" s="370">
        <v>0</v>
      </c>
      <c r="S20" s="370">
        <v>960.95017928079096</v>
      </c>
      <c r="T20" s="370">
        <v>64.797462901984332</v>
      </c>
      <c r="U20" s="370">
        <v>1146.9502117491124</v>
      </c>
      <c r="V20" s="370"/>
      <c r="W20" s="371">
        <v>36.758643707182323</v>
      </c>
      <c r="X20" s="371"/>
      <c r="Y20" s="371"/>
      <c r="Z20" s="370"/>
      <c r="AA20" s="372"/>
      <c r="AB20" s="374">
        <f>SUM(AC20:AL20)</f>
        <v>0</v>
      </c>
      <c r="AC20" s="375"/>
      <c r="AD20" s="370"/>
      <c r="AE20" s="370"/>
      <c r="AF20" s="370"/>
      <c r="AG20" s="370"/>
      <c r="AH20" s="370"/>
      <c r="AI20" s="370"/>
      <c r="AJ20" s="370"/>
      <c r="AK20" s="369"/>
      <c r="AL20" s="369"/>
      <c r="AM20" s="371"/>
      <c r="AN20" s="376"/>
      <c r="AO20" s="376"/>
      <c r="AP20" s="374"/>
      <c r="AQ20" s="377">
        <f t="shared" si="0"/>
        <v>3166.7858692089685</v>
      </c>
    </row>
    <row r="21" spans="1:43">
      <c r="A21" s="392" t="s">
        <v>202</v>
      </c>
      <c r="B21" s="393"/>
      <c r="C21" s="394">
        <f>SUM(C22:C24)</f>
        <v>22.240061570656763</v>
      </c>
      <c r="D21" s="395">
        <f>SUM(D22:D24)</f>
        <v>-17.141361188350004</v>
      </c>
      <c r="E21" s="396">
        <f>SUM(E22:E24)</f>
        <v>39.381422759006767</v>
      </c>
      <c r="F21" s="397">
        <f>SUM(F22:F24)</f>
        <v>0</v>
      </c>
      <c r="G21" s="397">
        <f>SUM(G22:G24)</f>
        <v>0</v>
      </c>
      <c r="H21" s="398">
        <f>SUM(I21:K21)</f>
        <v>0</v>
      </c>
      <c r="I21" s="395">
        <f>SUM(I22:I24)</f>
        <v>0</v>
      </c>
      <c r="J21" s="396">
        <f>SUM(J22:J24)</f>
        <v>0</v>
      </c>
      <c r="K21" s="396">
        <f>SUM(K22:K24)</f>
        <v>0</v>
      </c>
      <c r="L21" s="398">
        <f>SUM(M21:Z21)</f>
        <v>-24.684016341344112</v>
      </c>
      <c r="M21" s="396">
        <f t="shared" ref="M21:AQ21" si="9">SUM(M22:M24)</f>
        <v>0</v>
      </c>
      <c r="N21" s="396">
        <f t="shared" si="9"/>
        <v>30.880435114089789</v>
      </c>
      <c r="O21" s="396">
        <f t="shared" si="9"/>
        <v>0</v>
      </c>
      <c r="P21" s="396">
        <f t="shared" si="9"/>
        <v>-31.331710700000009</v>
      </c>
      <c r="Q21" s="396">
        <f t="shared" si="9"/>
        <v>361.91080481920005</v>
      </c>
      <c r="R21" s="396">
        <f t="shared" si="9"/>
        <v>-361.12225342559998</v>
      </c>
      <c r="S21" s="396">
        <f t="shared" si="9"/>
        <v>-0.17168420677966101</v>
      </c>
      <c r="T21" s="396">
        <f t="shared" si="9"/>
        <v>0</v>
      </c>
      <c r="U21" s="396">
        <f t="shared" si="9"/>
        <v>-2.6095463715975598</v>
      </c>
      <c r="V21" s="396">
        <f t="shared" si="9"/>
        <v>-22.240061570656767</v>
      </c>
      <c r="W21" s="397">
        <f t="shared" si="9"/>
        <v>0</v>
      </c>
      <c r="X21" s="397">
        <f t="shared" si="9"/>
        <v>0</v>
      </c>
      <c r="Y21" s="397">
        <f t="shared" si="9"/>
        <v>0</v>
      </c>
      <c r="Z21" s="396">
        <f t="shared" si="9"/>
        <v>0</v>
      </c>
      <c r="AA21" s="398">
        <f t="shared" si="9"/>
        <v>0</v>
      </c>
      <c r="AB21" s="399">
        <f t="shared" si="9"/>
        <v>-804.60161988393759</v>
      </c>
      <c r="AC21" s="400">
        <f t="shared" si="9"/>
        <v>-59.691708987970003</v>
      </c>
      <c r="AD21" s="396">
        <f t="shared" si="9"/>
        <v>-743.01992281532614</v>
      </c>
      <c r="AE21" s="396">
        <f t="shared" si="9"/>
        <v>0</v>
      </c>
      <c r="AF21" s="396">
        <f t="shared" si="9"/>
        <v>0</v>
      </c>
      <c r="AG21" s="401">
        <f t="shared" si="9"/>
        <v>0</v>
      </c>
      <c r="AH21" s="401">
        <f t="shared" si="9"/>
        <v>0</v>
      </c>
      <c r="AI21" s="401">
        <f t="shared" si="9"/>
        <v>0</v>
      </c>
      <c r="AJ21" s="401">
        <f t="shared" si="9"/>
        <v>0</v>
      </c>
      <c r="AK21" s="395">
        <f t="shared" si="9"/>
        <v>-1.8899880806415161</v>
      </c>
      <c r="AL21" s="401">
        <f t="shared" si="9"/>
        <v>0</v>
      </c>
      <c r="AM21" s="397">
        <f t="shared" si="9"/>
        <v>0</v>
      </c>
      <c r="AN21" s="402">
        <f t="shared" si="9"/>
        <v>0</v>
      </c>
      <c r="AO21" s="398">
        <f t="shared" si="9"/>
        <v>804.60161988393759</v>
      </c>
      <c r="AP21" s="399">
        <f t="shared" si="9"/>
        <v>0</v>
      </c>
      <c r="AQ21" s="403">
        <f t="shared" si="9"/>
        <v>-2.4439547706873483</v>
      </c>
    </row>
    <row r="22" spans="1:43">
      <c r="A22" s="353" t="s">
        <v>615</v>
      </c>
      <c r="B22" s="354"/>
      <c r="C22" s="404"/>
      <c r="D22" s="405"/>
      <c r="E22" s="406"/>
      <c r="F22" s="358"/>
      <c r="G22" s="358"/>
      <c r="H22" s="359"/>
      <c r="I22" s="407"/>
      <c r="J22" s="357"/>
      <c r="K22" s="357"/>
      <c r="L22" s="359"/>
      <c r="M22" s="357"/>
      <c r="N22" s="357"/>
      <c r="O22" s="357"/>
      <c r="P22" s="357"/>
      <c r="Q22" s="357"/>
      <c r="R22" s="357"/>
      <c r="S22" s="357"/>
      <c r="T22" s="357"/>
      <c r="U22" s="357"/>
      <c r="V22" s="357"/>
      <c r="W22" s="358"/>
      <c r="X22" s="358"/>
      <c r="Y22" s="358"/>
      <c r="Z22" s="357"/>
      <c r="AA22" s="359"/>
      <c r="AB22" s="361">
        <f>SUM(AC22:AM22)</f>
        <v>-804.60161988393759</v>
      </c>
      <c r="AC22" s="362">
        <f>-AC2</f>
        <v>-59.691708987970003</v>
      </c>
      <c r="AD22" s="357">
        <f>-AD2</f>
        <v>-743.01992281532614</v>
      </c>
      <c r="AE22" s="357"/>
      <c r="AF22" s="357"/>
      <c r="AG22" s="365"/>
      <c r="AH22" s="365"/>
      <c r="AI22" s="365"/>
      <c r="AJ22" s="365"/>
      <c r="AK22" s="356">
        <v>-1.8899880806415161</v>
      </c>
      <c r="AL22" s="365"/>
      <c r="AM22" s="358"/>
      <c r="AN22" s="363"/>
      <c r="AO22" s="359">
        <f>-(C22+H22+L22+AA22+AB22)</f>
        <v>804.60161988393759</v>
      </c>
      <c r="AP22" s="361"/>
      <c r="AQ22" s="390">
        <f>C22+H22+L22+AA22+AB22+AN22+AO22+AP22</f>
        <v>0</v>
      </c>
    </row>
    <row r="23" spans="1:43">
      <c r="A23" s="408" t="s">
        <v>616</v>
      </c>
      <c r="B23" s="379"/>
      <c r="C23" s="409"/>
      <c r="D23" s="410"/>
      <c r="E23" s="382"/>
      <c r="F23" s="411"/>
      <c r="G23" s="411"/>
      <c r="H23" s="384"/>
      <c r="I23" s="412"/>
      <c r="J23" s="413"/>
      <c r="K23" s="413"/>
      <c r="L23" s="384"/>
      <c r="M23" s="413"/>
      <c r="N23" s="413"/>
      <c r="O23" s="413"/>
      <c r="P23" s="413"/>
      <c r="Q23" s="413"/>
      <c r="R23" s="413"/>
      <c r="S23" s="413"/>
      <c r="T23" s="413"/>
      <c r="U23" s="413"/>
      <c r="V23" s="413"/>
      <c r="W23" s="411"/>
      <c r="X23" s="411"/>
      <c r="Y23" s="411"/>
      <c r="Z23" s="413"/>
      <c r="AA23" s="384"/>
      <c r="AB23" s="386"/>
      <c r="AC23" s="414"/>
      <c r="AD23" s="413"/>
      <c r="AE23" s="413"/>
      <c r="AF23" s="413"/>
      <c r="AG23" s="413"/>
      <c r="AH23" s="413"/>
      <c r="AI23" s="413"/>
      <c r="AJ23" s="413"/>
      <c r="AK23" s="415"/>
      <c r="AL23" s="415"/>
      <c r="AM23" s="411"/>
      <c r="AN23" s="416"/>
      <c r="AO23" s="384"/>
      <c r="AP23" s="386"/>
      <c r="AQ23" s="417">
        <f>C23+H23+L23+AA23+AB23+AN23+AO23+AP23</f>
        <v>0</v>
      </c>
    </row>
    <row r="24" spans="1:43" ht="13.8" thickBot="1">
      <c r="A24" s="317" t="s">
        <v>617</v>
      </c>
      <c r="B24" s="318"/>
      <c r="C24" s="418">
        <f>SUM(D24:G24)</f>
        <v>22.240061570656763</v>
      </c>
      <c r="D24" s="419">
        <v>-17.141361188350004</v>
      </c>
      <c r="E24" s="326">
        <f>-D24-V24</f>
        <v>39.381422759006767</v>
      </c>
      <c r="F24" s="320"/>
      <c r="G24" s="320"/>
      <c r="H24" s="321"/>
      <c r="I24" s="420"/>
      <c r="J24" s="326"/>
      <c r="K24" s="326"/>
      <c r="L24" s="321">
        <f>SUM(N24:Z24)</f>
        <v>-24.684016341344112</v>
      </c>
      <c r="M24" s="326"/>
      <c r="N24" s="326">
        <v>30.880435114089789</v>
      </c>
      <c r="O24" s="326"/>
      <c r="P24" s="326">
        <v>-31.331710700000009</v>
      </c>
      <c r="Q24" s="326">
        <v>361.91080481920005</v>
      </c>
      <c r="R24" s="326">
        <v>-361.12225342559998</v>
      </c>
      <c r="S24" s="326">
        <v>-0.17168420677966101</v>
      </c>
      <c r="T24" s="326"/>
      <c r="U24" s="326">
        <v>-2.6095463715975598</v>
      </c>
      <c r="V24" s="320">
        <v>-22.240061570656767</v>
      </c>
      <c r="W24" s="320">
        <v>0</v>
      </c>
      <c r="X24" s="320"/>
      <c r="Y24" s="320"/>
      <c r="Z24" s="326"/>
      <c r="AA24" s="321"/>
      <c r="AB24" s="321">
        <f>SUM(AC24:AM24)</f>
        <v>0</v>
      </c>
      <c r="AC24" s="325"/>
      <c r="AD24" s="326"/>
      <c r="AE24" s="326"/>
      <c r="AF24" s="326"/>
      <c r="AG24" s="326"/>
      <c r="AH24" s="326"/>
      <c r="AI24" s="326"/>
      <c r="AJ24" s="326"/>
      <c r="AK24" s="322"/>
      <c r="AL24" s="322"/>
      <c r="AM24" s="320"/>
      <c r="AN24" s="327"/>
      <c r="AO24" s="321"/>
      <c r="AP24" s="324"/>
      <c r="AQ24" s="328">
        <f>C24+H24+L24+AA24+AB24+AN24+AO24+AP24</f>
        <v>-2.4439547706873483</v>
      </c>
    </row>
    <row r="25" spans="1:43" ht="13.8" thickBot="1">
      <c r="A25" s="378" t="s">
        <v>205</v>
      </c>
      <c r="B25" s="379"/>
      <c r="C25" s="380">
        <f>SUM(D25:G25)</f>
        <v>0</v>
      </c>
      <c r="D25" s="381"/>
      <c r="E25" s="382"/>
      <c r="F25" s="411"/>
      <c r="G25" s="411"/>
      <c r="H25" s="384">
        <f>SUM(I25:K25)</f>
        <v>10.28324833984202</v>
      </c>
      <c r="I25" s="411">
        <v>10.28324833984202</v>
      </c>
      <c r="J25" s="421"/>
      <c r="K25" s="413"/>
      <c r="L25" s="384">
        <f>SUM(O25:Z25)</f>
        <v>98.284657617035819</v>
      </c>
      <c r="M25" s="413"/>
      <c r="N25" s="413"/>
      <c r="O25" s="413">
        <v>95.274692021714102</v>
      </c>
      <c r="P25" s="413"/>
      <c r="Q25" s="413"/>
      <c r="R25" s="413"/>
      <c r="S25" s="413">
        <v>0</v>
      </c>
      <c r="T25" s="413">
        <v>4.1693256233877908E-3</v>
      </c>
      <c r="U25" s="413">
        <v>3.0057962696983291</v>
      </c>
      <c r="V25" s="413"/>
      <c r="W25" s="411"/>
      <c r="X25" s="411"/>
      <c r="Y25" s="411"/>
      <c r="Z25" s="413"/>
      <c r="AA25" s="384">
        <v>57.528599543766255</v>
      </c>
      <c r="AB25" s="386">
        <f>SUM(AC25:AI25)</f>
        <v>0</v>
      </c>
      <c r="AC25" s="387"/>
      <c r="AD25" s="413"/>
      <c r="AE25" s="413"/>
      <c r="AF25" s="413"/>
      <c r="AG25" s="413"/>
      <c r="AH25" s="413"/>
      <c r="AI25" s="413"/>
      <c r="AJ25" s="413"/>
      <c r="AK25" s="415"/>
      <c r="AL25" s="415"/>
      <c r="AM25" s="411"/>
      <c r="AN25" s="416"/>
      <c r="AO25" s="384">
        <v>259.46681438260055</v>
      </c>
      <c r="AP25" s="386"/>
      <c r="AQ25" s="417">
        <f>C25+H25+L25+AA25+AB25+AN25+AO25+AP25</f>
        <v>425.56331988324462</v>
      </c>
    </row>
    <row r="26" spans="1:43" ht="13.8" thickBot="1">
      <c r="A26" s="422" t="s">
        <v>206</v>
      </c>
      <c r="B26" s="423"/>
      <c r="C26" s="424">
        <f t="shared" ref="C26:AP26" si="10">C7-C9+C15+C21-C25</f>
        <v>320.15759843333262</v>
      </c>
      <c r="D26" s="425">
        <f t="shared" si="10"/>
        <v>221.42915574234439</v>
      </c>
      <c r="E26" s="426">
        <f t="shared" si="10"/>
        <v>86.198591658957852</v>
      </c>
      <c r="F26" s="426">
        <f t="shared" si="10"/>
        <v>0</v>
      </c>
      <c r="G26" s="426">
        <f t="shared" si="10"/>
        <v>12.529851032030438</v>
      </c>
      <c r="H26" s="427">
        <f t="shared" si="10"/>
        <v>199.31419506885081</v>
      </c>
      <c r="I26" s="425">
        <f t="shared" si="10"/>
        <v>0.37225106885087023</v>
      </c>
      <c r="J26" s="428">
        <f t="shared" si="10"/>
        <v>127.70399999999999</v>
      </c>
      <c r="K26" s="426">
        <f t="shared" si="10"/>
        <v>71.237943999999999</v>
      </c>
      <c r="L26" s="427">
        <f t="shared" si="10"/>
        <v>7278.2180951406654</v>
      </c>
      <c r="M26" s="426">
        <f t="shared" si="10"/>
        <v>0</v>
      </c>
      <c r="N26" s="426">
        <f t="shared" si="10"/>
        <v>-0.14794174855289199</v>
      </c>
      <c r="O26" s="426">
        <f t="shared" si="10"/>
        <v>-5.2567080980734033</v>
      </c>
      <c r="P26" s="426">
        <f t="shared" si="10"/>
        <v>799.22126723333315</v>
      </c>
      <c r="Q26" s="426">
        <f t="shared" si="10"/>
        <v>949.04247657856001</v>
      </c>
      <c r="R26" s="426">
        <f t="shared" si="10"/>
        <v>1106.9485985044798</v>
      </c>
      <c r="S26" s="426">
        <f t="shared" si="10"/>
        <v>39.03952078017609</v>
      </c>
      <c r="T26" s="426">
        <f t="shared" si="10"/>
        <v>187.88084937540125</v>
      </c>
      <c r="U26" s="426">
        <f t="shared" si="10"/>
        <v>3815.0626351280866</v>
      </c>
      <c r="V26" s="426">
        <f t="shared" si="10"/>
        <v>147.33759997605492</v>
      </c>
      <c r="W26" s="426">
        <f t="shared" si="10"/>
        <v>7.506512734116022</v>
      </c>
      <c r="X26" s="426">
        <f t="shared" si="10"/>
        <v>195.36275312176252</v>
      </c>
      <c r="Y26" s="426">
        <f t="shared" si="10"/>
        <v>1.2096467108549098</v>
      </c>
      <c r="Z26" s="426">
        <f t="shared" si="10"/>
        <v>35.010884844467988</v>
      </c>
      <c r="AA26" s="427">
        <f t="shared" si="10"/>
        <v>1921.4292269183238</v>
      </c>
      <c r="AB26" s="429">
        <f t="shared" si="10"/>
        <v>461.09915024876761</v>
      </c>
      <c r="AC26" s="351">
        <f t="shared" si="10"/>
        <v>0</v>
      </c>
      <c r="AD26" s="333">
        <f t="shared" si="10"/>
        <v>0</v>
      </c>
      <c r="AE26" s="333">
        <f t="shared" si="10"/>
        <v>197.01652611637599</v>
      </c>
      <c r="AF26" s="333">
        <f t="shared" si="10"/>
        <v>40.692904224132207</v>
      </c>
      <c r="AG26" s="333">
        <f t="shared" si="10"/>
        <v>0</v>
      </c>
      <c r="AH26" s="333">
        <f t="shared" si="10"/>
        <v>9.7770611234061491</v>
      </c>
      <c r="AI26" s="333">
        <f t="shared" si="10"/>
        <v>128.62672037577602</v>
      </c>
      <c r="AJ26" s="333">
        <f t="shared" si="10"/>
        <v>27.916404744672001</v>
      </c>
      <c r="AK26" s="336">
        <f t="shared" si="10"/>
        <v>0</v>
      </c>
      <c r="AL26" s="336">
        <f t="shared" si="10"/>
        <v>13.54608560366562</v>
      </c>
      <c r="AM26" s="430">
        <f t="shared" si="10"/>
        <v>43.523448060739646</v>
      </c>
      <c r="AN26" s="427">
        <f t="shared" si="10"/>
        <v>54.722939604974087</v>
      </c>
      <c r="AO26" s="427">
        <f t="shared" si="10"/>
        <v>2361.7269899654289</v>
      </c>
      <c r="AP26" s="429">
        <f t="shared" si="10"/>
        <v>0</v>
      </c>
      <c r="AQ26" s="431">
        <f>C26+H26+L26+AA26+AB26+AN26+AO26+AP26</f>
        <v>12596.668195380342</v>
      </c>
    </row>
    <row r="39" spans="14:16">
      <c r="P39" s="219"/>
    </row>
    <row r="40" spans="14:16">
      <c r="N40" s="218"/>
    </row>
  </sheetData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28973-03EE-47B5-B88E-68B51CDC4391}">
  <sheetPr codeName="Sheet1"/>
  <dimension ref="B3:AC86"/>
  <sheetViews>
    <sheetView zoomScale="70" zoomScaleNormal="70" workbookViewId="0">
      <selection activeCell="F37" sqref="F37"/>
    </sheetView>
  </sheetViews>
  <sheetFormatPr defaultRowHeight="14.4"/>
  <cols>
    <col min="1" max="1" width="1.5546875" customWidth="1"/>
    <col min="2" max="2" width="23.21875" bestFit="1" customWidth="1"/>
    <col min="3" max="3" width="46.77734375" bestFit="1" customWidth="1"/>
    <col min="4" max="4" width="1.5546875" bestFit="1" customWidth="1"/>
    <col min="5" max="5" width="20.77734375" customWidth="1"/>
    <col min="6" max="6" width="85.5546875" bestFit="1" customWidth="1"/>
    <col min="7" max="7" width="14.5546875" customWidth="1"/>
    <col min="8" max="8" width="8.77734375" bestFit="1" customWidth="1"/>
    <col min="9" max="9" width="9.77734375" bestFit="1" customWidth="1"/>
    <col min="10" max="10" width="18.77734375" bestFit="1" customWidth="1"/>
    <col min="11" max="11" width="9.77734375" bestFit="1" customWidth="1"/>
    <col min="12" max="12" width="1.5546875" bestFit="1" customWidth="1"/>
    <col min="13" max="13" width="27.21875" bestFit="1" customWidth="1"/>
    <col min="14" max="14" width="35.77734375" bestFit="1" customWidth="1"/>
    <col min="15" max="15" width="1.5546875" customWidth="1"/>
    <col min="16" max="16" width="9.77734375" bestFit="1" customWidth="1"/>
    <col min="17" max="17" width="20" bestFit="1" customWidth="1"/>
    <col min="18" max="18" width="1.5546875" customWidth="1"/>
    <col min="20" max="20" width="18.21875" bestFit="1" customWidth="1"/>
    <col min="21" max="21" width="1.5546875" customWidth="1"/>
    <col min="22" max="22" width="11.21875" bestFit="1" customWidth="1"/>
    <col min="23" max="23" width="26.77734375" bestFit="1" customWidth="1"/>
    <col min="24" max="24" width="1.5546875" customWidth="1"/>
    <col min="26" max="26" width="11.21875" bestFit="1" customWidth="1"/>
    <col min="27" max="27" width="1.5546875" customWidth="1"/>
    <col min="29" max="29" width="13.21875" bestFit="1" customWidth="1"/>
  </cols>
  <sheetData>
    <row r="3" spans="2:29" ht="18">
      <c r="B3" s="165" t="s">
        <v>282</v>
      </c>
      <c r="E3" s="165" t="s">
        <v>397</v>
      </c>
      <c r="L3" t="s">
        <v>358</v>
      </c>
      <c r="M3" s="165" t="s">
        <v>337</v>
      </c>
      <c r="P3" s="165" t="s">
        <v>278</v>
      </c>
      <c r="S3" s="165" t="s">
        <v>377</v>
      </c>
      <c r="V3" s="165" t="s">
        <v>401</v>
      </c>
      <c r="Y3" s="165" t="s">
        <v>384</v>
      </c>
      <c r="AB3" s="165" t="s">
        <v>387</v>
      </c>
    </row>
    <row r="4" spans="2:29" ht="15" thickBot="1">
      <c r="B4" s="166" t="s">
        <v>279</v>
      </c>
      <c r="C4" s="166" t="s">
        <v>280</v>
      </c>
      <c r="E4" s="166" t="s">
        <v>279</v>
      </c>
      <c r="F4" s="166" t="s">
        <v>280</v>
      </c>
      <c r="G4" s="166" t="s">
        <v>342</v>
      </c>
      <c r="H4" s="166" t="s">
        <v>343</v>
      </c>
      <c r="I4" s="166" t="s">
        <v>345</v>
      </c>
      <c r="J4" s="166" t="s">
        <v>379</v>
      </c>
      <c r="K4" s="166" t="s">
        <v>344</v>
      </c>
      <c r="M4" s="166" t="s">
        <v>279</v>
      </c>
      <c r="N4" s="166" t="s">
        <v>280</v>
      </c>
      <c r="P4" s="166" t="s">
        <v>279</v>
      </c>
      <c r="Q4" s="166" t="s">
        <v>280</v>
      </c>
      <c r="S4" s="166" t="s">
        <v>279</v>
      </c>
      <c r="T4" s="166" t="s">
        <v>280</v>
      </c>
      <c r="V4" s="166" t="s">
        <v>279</v>
      </c>
      <c r="W4" s="166" t="s">
        <v>280</v>
      </c>
      <c r="Y4" s="166" t="s">
        <v>279</v>
      </c>
      <c r="Z4" s="166" t="s">
        <v>280</v>
      </c>
      <c r="AB4" s="166" t="s">
        <v>279</v>
      </c>
      <c r="AC4" s="166" t="s">
        <v>280</v>
      </c>
    </row>
    <row r="5" spans="2:29">
      <c r="B5" s="167" t="s">
        <v>283</v>
      </c>
      <c r="C5" s="167" t="s">
        <v>75</v>
      </c>
      <c r="E5" s="167" t="str">
        <f t="shared" ref="E5" si="0">I5&amp;H5&amp;J5</f>
        <v>IMPCOABIT</v>
      </c>
      <c r="F5" t="str">
        <f t="shared" ref="F5:F36" si="1">G5 &amp; " of " &amp; VLOOKUP(H5,$B$5:$C$84,2,FALSE) &amp; IF(J5&lt;&gt;0,IF(VLOOKUP(J5,$V$5:$W$12,2,FALSE)&lt;&gt;""," - " &amp; VLOOKUP(J5,$V$5:$W$12,2,FALSE),""),"")</f>
        <v xml:space="preserve">Import of Bituminous Coal </v>
      </c>
      <c r="G5" s="167" t="str">
        <f t="shared" ref="G5:G36" si="2">VLOOKUP(I5,$S$5:$T$10,2,FALSE)</f>
        <v>Import</v>
      </c>
      <c r="H5" s="167" t="str">
        <f>B38</f>
        <v>COABIT</v>
      </c>
      <c r="I5" s="167" t="str">
        <f t="shared" ref="I5:I36" si="3">$S$6</f>
        <v>IMP</v>
      </c>
      <c r="J5" s="168"/>
      <c r="K5" s="167" t="s">
        <v>13</v>
      </c>
      <c r="M5" s="167" t="s">
        <v>338</v>
      </c>
      <c r="N5" s="167" t="s">
        <v>392</v>
      </c>
      <c r="P5" s="167" t="s">
        <v>335</v>
      </c>
      <c r="Q5" s="167" t="s">
        <v>336</v>
      </c>
      <c r="S5" s="167" t="s">
        <v>9</v>
      </c>
      <c r="T5" s="167" t="s">
        <v>425</v>
      </c>
      <c r="V5" s="167" t="s">
        <v>378</v>
      </c>
      <c r="W5" s="167" t="s">
        <v>402</v>
      </c>
      <c r="Y5" s="167" t="s">
        <v>382</v>
      </c>
      <c r="Z5" s="167" t="s">
        <v>385</v>
      </c>
      <c r="AB5" s="167" t="s">
        <v>388</v>
      </c>
      <c r="AC5" s="167" t="s">
        <v>390</v>
      </c>
    </row>
    <row r="6" spans="2:29">
      <c r="B6" s="167" t="s">
        <v>284</v>
      </c>
      <c r="C6" s="167" t="s">
        <v>285</v>
      </c>
      <c r="E6" s="167" t="str">
        <f>I6&amp;H6&amp;J6</f>
        <v>IMPCOAHAR</v>
      </c>
      <c r="F6" t="str">
        <f t="shared" si="1"/>
        <v xml:space="preserve">Import of Hard Coal / Antracite </v>
      </c>
      <c r="G6" s="167" t="str">
        <f t="shared" si="2"/>
        <v>Import</v>
      </c>
      <c r="H6" s="167" t="str">
        <f>B39</f>
        <v>COAHAR</v>
      </c>
      <c r="I6" s="167" t="str">
        <f t="shared" si="3"/>
        <v>IMP</v>
      </c>
      <c r="J6" s="168"/>
      <c r="K6" s="167" t="s">
        <v>13</v>
      </c>
      <c r="M6" s="167" t="s">
        <v>367</v>
      </c>
      <c r="N6" s="167" t="s">
        <v>393</v>
      </c>
      <c r="P6" s="167" t="s">
        <v>281</v>
      </c>
      <c r="Q6" s="167" t="s">
        <v>203</v>
      </c>
      <c r="S6" s="167" t="s">
        <v>13</v>
      </c>
      <c r="T6" s="167" t="s">
        <v>398</v>
      </c>
      <c r="V6" s="167" t="s">
        <v>622</v>
      </c>
      <c r="W6" s="167" t="s">
        <v>618</v>
      </c>
      <c r="Y6" s="167" t="s">
        <v>383</v>
      </c>
      <c r="Z6" s="167" t="s">
        <v>386</v>
      </c>
      <c r="AB6" s="167" t="s">
        <v>389</v>
      </c>
      <c r="AC6" s="167" t="s">
        <v>391</v>
      </c>
    </row>
    <row r="7" spans="2:29">
      <c r="B7" s="167" t="s">
        <v>286</v>
      </c>
      <c r="C7" s="167" t="s">
        <v>287</v>
      </c>
      <c r="E7" s="167" t="str">
        <f t="shared" ref="E7:E8" si="4">I7&amp;H7&amp;J7</f>
        <v>IMPCOACOK</v>
      </c>
      <c r="F7" t="str">
        <f t="shared" si="1"/>
        <v xml:space="preserve">Import of Coke Coal </v>
      </c>
      <c r="G7" s="167" t="str">
        <f t="shared" si="2"/>
        <v>Import</v>
      </c>
      <c r="H7" s="167" t="str">
        <f>B40</f>
        <v>COACOK</v>
      </c>
      <c r="I7" s="167" t="str">
        <f t="shared" si="3"/>
        <v>IMP</v>
      </c>
      <c r="J7" s="168"/>
      <c r="K7" s="167" t="s">
        <v>13</v>
      </c>
      <c r="M7" s="167" t="s">
        <v>339</v>
      </c>
      <c r="N7" s="167" t="s">
        <v>394</v>
      </c>
      <c r="P7" s="167"/>
      <c r="Q7" s="167"/>
      <c r="S7" s="167" t="s">
        <v>62</v>
      </c>
      <c r="T7" s="167" t="s">
        <v>399</v>
      </c>
      <c r="V7" s="167" t="s">
        <v>403</v>
      </c>
      <c r="W7" s="167"/>
      <c r="Y7" s="167"/>
      <c r="Z7" s="167"/>
      <c r="AB7" s="167"/>
      <c r="AC7" s="167"/>
    </row>
    <row r="8" spans="2:29">
      <c r="B8" s="167" t="s">
        <v>288</v>
      </c>
      <c r="C8" s="167" t="s">
        <v>289</v>
      </c>
      <c r="E8" s="167" t="str">
        <f t="shared" si="4"/>
        <v>IMPCOALIG</v>
      </c>
      <c r="F8" t="str">
        <f t="shared" si="1"/>
        <v xml:space="preserve">Import of Lignite /  Brown Coal </v>
      </c>
      <c r="G8" s="167" t="str">
        <f t="shared" si="2"/>
        <v>Import</v>
      </c>
      <c r="H8" s="167" t="str">
        <f>B41</f>
        <v>COALIG</v>
      </c>
      <c r="I8" s="167" t="str">
        <f t="shared" si="3"/>
        <v>IMP</v>
      </c>
      <c r="J8" s="168"/>
      <c r="K8" s="167" t="s">
        <v>13</v>
      </c>
      <c r="M8" s="167" t="s">
        <v>395</v>
      </c>
      <c r="N8" t="s">
        <v>396</v>
      </c>
      <c r="P8" s="167"/>
      <c r="Q8" s="167"/>
      <c r="S8" s="167" t="s">
        <v>423</v>
      </c>
      <c r="T8" s="167" t="s">
        <v>424</v>
      </c>
      <c r="V8" t="s">
        <v>426</v>
      </c>
      <c r="W8" t="s">
        <v>427</v>
      </c>
    </row>
    <row r="9" spans="2:29">
      <c r="B9" s="167" t="s">
        <v>290</v>
      </c>
      <c r="C9" s="167" t="s">
        <v>291</v>
      </c>
      <c r="E9" s="167" t="str">
        <f>I9&amp;H9&amp;J9</f>
        <v>IMPOILCRD</v>
      </c>
      <c r="F9" t="str">
        <f t="shared" si="1"/>
        <v xml:space="preserve">Import of Crude Oil </v>
      </c>
      <c r="G9" s="167" t="str">
        <f t="shared" si="2"/>
        <v>Import</v>
      </c>
      <c r="H9" s="167" t="str">
        <f>B43</f>
        <v>OILCRD</v>
      </c>
      <c r="I9" s="167" t="str">
        <f t="shared" si="3"/>
        <v>IMP</v>
      </c>
      <c r="J9" s="168"/>
      <c r="K9" s="167" t="s">
        <v>13</v>
      </c>
      <c r="M9" s="167" t="s">
        <v>340</v>
      </c>
      <c r="N9" s="167" t="s">
        <v>363</v>
      </c>
      <c r="S9" s="167" t="s">
        <v>400</v>
      </c>
      <c r="T9" s="167" t="s">
        <v>422</v>
      </c>
      <c r="V9" s="167" t="s">
        <v>407</v>
      </c>
      <c r="W9" s="167" t="s">
        <v>411</v>
      </c>
    </row>
    <row r="10" spans="2:29">
      <c r="B10" s="167" t="s">
        <v>292</v>
      </c>
      <c r="C10" s="167" t="s">
        <v>293</v>
      </c>
      <c r="E10" s="167" t="str">
        <f>I10&amp;H10&amp;J10</f>
        <v>IMPOILKER</v>
      </c>
      <c r="F10" t="str">
        <f t="shared" si="1"/>
        <v xml:space="preserve">Import of Kerosene </v>
      </c>
      <c r="G10" s="167" t="str">
        <f t="shared" si="2"/>
        <v>Import</v>
      </c>
      <c r="H10" s="167" t="str">
        <f t="shared" ref="H10:H15" si="5">B45</f>
        <v>OILKER</v>
      </c>
      <c r="I10" s="167" t="str">
        <f t="shared" si="3"/>
        <v>IMP</v>
      </c>
      <c r="J10" s="168"/>
      <c r="K10" s="167" t="s">
        <v>13</v>
      </c>
      <c r="M10" s="167" t="s">
        <v>341</v>
      </c>
      <c r="N10" s="167" t="s">
        <v>364</v>
      </c>
      <c r="S10" s="167"/>
      <c r="T10" s="167"/>
      <c r="V10" s="167" t="s">
        <v>408</v>
      </c>
      <c r="W10" s="167" t="s">
        <v>412</v>
      </c>
    </row>
    <row r="11" spans="2:29">
      <c r="B11" s="167" t="s">
        <v>294</v>
      </c>
      <c r="C11" s="167" t="s">
        <v>74</v>
      </c>
      <c r="E11" s="167" t="str">
        <f>I11&amp;H11&amp;J11</f>
        <v>IMPOILHFO</v>
      </c>
      <c r="F11" t="str">
        <f t="shared" si="1"/>
        <v xml:space="preserve">Import of Heavy Fuel Oil </v>
      </c>
      <c r="G11" s="167" t="str">
        <f t="shared" si="2"/>
        <v>Import</v>
      </c>
      <c r="H11" s="167" t="str">
        <f t="shared" si="5"/>
        <v>OILHFO</v>
      </c>
      <c r="I11" s="167" t="str">
        <f t="shared" si="3"/>
        <v>IMP</v>
      </c>
      <c r="J11" s="168"/>
      <c r="K11" s="167" t="s">
        <v>13</v>
      </c>
      <c r="M11" s="167" t="s">
        <v>375</v>
      </c>
      <c r="N11" s="167" t="s">
        <v>376</v>
      </c>
      <c r="V11" t="s">
        <v>409</v>
      </c>
      <c r="W11" s="167" t="s">
        <v>413</v>
      </c>
    </row>
    <row r="12" spans="2:29">
      <c r="B12" s="167" t="s">
        <v>295</v>
      </c>
      <c r="C12" s="167" t="s">
        <v>296</v>
      </c>
      <c r="E12" s="167" t="str">
        <f>I12&amp;H12&amp;J12</f>
        <v>IMPOILDST</v>
      </c>
      <c r="F12" t="str">
        <f t="shared" si="1"/>
        <v xml:space="preserve">Import of Diesel Oil </v>
      </c>
      <c r="G12" s="167" t="str">
        <f t="shared" si="2"/>
        <v>Import</v>
      </c>
      <c r="H12" s="167" t="str">
        <f t="shared" si="5"/>
        <v>OILDST</v>
      </c>
      <c r="I12" s="167" t="str">
        <f t="shared" si="3"/>
        <v>IMP</v>
      </c>
      <c r="J12" s="168"/>
      <c r="K12" s="167" t="s">
        <v>13</v>
      </c>
      <c r="M12" s="167" t="s">
        <v>359</v>
      </c>
      <c r="N12" t="s">
        <v>362</v>
      </c>
      <c r="V12" s="167" t="s">
        <v>410</v>
      </c>
      <c r="W12" s="167" t="s">
        <v>414</v>
      </c>
    </row>
    <row r="13" spans="2:29">
      <c r="B13" s="167" t="s">
        <v>380</v>
      </c>
      <c r="C13" s="167" t="s">
        <v>381</v>
      </c>
      <c r="E13" s="167" t="str">
        <f t="shared" ref="E13:E14" si="6">I13&amp;H13&amp;J13</f>
        <v>IMPOILLPG</v>
      </c>
      <c r="F13" t="str">
        <f t="shared" si="1"/>
        <v xml:space="preserve">Import of Liquified Petroleum Gas </v>
      </c>
      <c r="G13" s="167" t="str">
        <f t="shared" si="2"/>
        <v>Import</v>
      </c>
      <c r="H13" s="167" t="str">
        <f t="shared" si="5"/>
        <v>OILLPG</v>
      </c>
      <c r="I13" s="167" t="str">
        <f t="shared" si="3"/>
        <v>IMP</v>
      </c>
      <c r="J13" s="168"/>
      <c r="K13" s="167" t="s">
        <v>13</v>
      </c>
      <c r="M13" s="167" t="s">
        <v>360</v>
      </c>
      <c r="N13" t="s">
        <v>365</v>
      </c>
    </row>
    <row r="14" spans="2:29">
      <c r="B14" s="167" t="s">
        <v>297</v>
      </c>
      <c r="C14" t="s">
        <v>298</v>
      </c>
      <c r="E14" s="167" t="str">
        <f t="shared" si="6"/>
        <v>IMPOILGSL</v>
      </c>
      <c r="F14" t="str">
        <f t="shared" si="1"/>
        <v xml:space="preserve">Import of Gasoline </v>
      </c>
      <c r="G14" s="167" t="str">
        <f t="shared" si="2"/>
        <v>Import</v>
      </c>
      <c r="H14" s="167" t="str">
        <f t="shared" si="5"/>
        <v>OILGSL</v>
      </c>
      <c r="I14" s="167" t="str">
        <f t="shared" si="3"/>
        <v>IMP</v>
      </c>
      <c r="J14" s="168"/>
      <c r="K14" s="167" t="s">
        <v>13</v>
      </c>
      <c r="M14" s="167" t="s">
        <v>361</v>
      </c>
      <c r="N14" t="s">
        <v>366</v>
      </c>
    </row>
    <row r="15" spans="2:29">
      <c r="B15" s="167" t="s">
        <v>299</v>
      </c>
      <c r="C15" s="167" t="s">
        <v>300</v>
      </c>
      <c r="E15" s="167" t="str">
        <f t="shared" ref="E15" si="7">I15&amp;H15&amp;J15</f>
        <v>IMPOILCOK</v>
      </c>
      <c r="F15" t="str">
        <f t="shared" si="1"/>
        <v xml:space="preserve">Import of Petroleum Coke </v>
      </c>
      <c r="G15" s="167" t="str">
        <f t="shared" si="2"/>
        <v>Import</v>
      </c>
      <c r="H15" s="167" t="str">
        <f t="shared" si="5"/>
        <v>OILCOK</v>
      </c>
      <c r="I15" s="167" t="str">
        <f t="shared" si="3"/>
        <v>IMP</v>
      </c>
      <c r="J15" s="168"/>
      <c r="K15" s="167" t="s">
        <v>13</v>
      </c>
    </row>
    <row r="16" spans="2:29">
      <c r="B16" s="167" t="s">
        <v>301</v>
      </c>
      <c r="C16" s="167" t="s">
        <v>302</v>
      </c>
      <c r="E16" s="167" t="str">
        <f>I16&amp;H16&amp;J16</f>
        <v>IMPOILNEU</v>
      </c>
      <c r="F16" t="str">
        <f t="shared" si="1"/>
        <v>Import of Oil for Non-Energy uses</v>
      </c>
      <c r="G16" s="167" t="str">
        <f t="shared" si="2"/>
        <v>Import</v>
      </c>
      <c r="H16" s="167" t="str">
        <f>B52</f>
        <v>OILNEU</v>
      </c>
      <c r="I16" s="167" t="str">
        <f t="shared" si="3"/>
        <v>IMP</v>
      </c>
      <c r="J16" s="168"/>
      <c r="K16" s="167" t="s">
        <v>13</v>
      </c>
    </row>
    <row r="17" spans="2:11">
      <c r="B17" s="167" t="s">
        <v>303</v>
      </c>
      <c r="C17" s="167" t="s">
        <v>370</v>
      </c>
      <c r="E17" s="167" t="str">
        <f>I17&amp;H17&amp;J17</f>
        <v>IMPGASNAT_UK</v>
      </c>
      <c r="F17" t="str">
        <f t="shared" si="1"/>
        <v>Import of Natural Gas  - UK</v>
      </c>
      <c r="G17" s="167" t="str">
        <f t="shared" si="2"/>
        <v>Import</v>
      </c>
      <c r="H17" s="167" t="str">
        <f>B53</f>
        <v>GASNAT</v>
      </c>
      <c r="I17" s="167" t="str">
        <f t="shared" si="3"/>
        <v>IMP</v>
      </c>
      <c r="J17" s="167" t="str">
        <f>V5</f>
        <v>_UK</v>
      </c>
      <c r="K17" s="167" t="s">
        <v>13</v>
      </c>
    </row>
    <row r="18" spans="2:11">
      <c r="B18" s="167" t="s">
        <v>304</v>
      </c>
      <c r="C18" s="167" t="s">
        <v>305</v>
      </c>
      <c r="E18" s="167" t="str">
        <f>I18&amp;H18&amp;J18</f>
        <v>IMPGASLNG_GLOBAL</v>
      </c>
      <c r="F18" t="str">
        <f t="shared" si="1"/>
        <v xml:space="preserve">Import of Liquified Natural Gas </v>
      </c>
      <c r="G18" s="167" t="str">
        <f t="shared" si="2"/>
        <v>Import</v>
      </c>
      <c r="H18" s="167" t="str">
        <f>B54</f>
        <v>GASLNG</v>
      </c>
      <c r="I18" s="167" t="str">
        <f t="shared" si="3"/>
        <v>IMP</v>
      </c>
      <c r="J18" s="167" t="str">
        <f>V7</f>
        <v>_GLOBAL</v>
      </c>
      <c r="K18" s="167" t="s">
        <v>13</v>
      </c>
    </row>
    <row r="19" spans="2:11">
      <c r="B19" s="167" t="s">
        <v>306</v>
      </c>
      <c r="C19" s="167" t="s">
        <v>307</v>
      </c>
      <c r="E19" s="167" t="str">
        <f>I19&amp;H19&amp;J19</f>
        <v>IMPNUCURM</v>
      </c>
      <c r="F19" t="str">
        <f t="shared" si="1"/>
        <v>Import of Uranium</v>
      </c>
      <c r="G19" s="167" t="str">
        <f t="shared" si="2"/>
        <v>Import</v>
      </c>
      <c r="H19" s="167" t="str">
        <f>B55</f>
        <v>NUCURM</v>
      </c>
      <c r="I19" s="167" t="str">
        <f t="shared" si="3"/>
        <v>IMP</v>
      </c>
      <c r="J19" s="167"/>
      <c r="K19" s="167" t="s">
        <v>13</v>
      </c>
    </row>
    <row r="20" spans="2:11">
      <c r="B20" s="167" t="s">
        <v>372</v>
      </c>
      <c r="C20" s="167" t="s">
        <v>308</v>
      </c>
      <c r="E20" s="167" t="str">
        <f>I20&amp;H20&amp;J20</f>
        <v>IMPBIOETH1G_S1</v>
      </c>
      <c r="F20" t="str">
        <f t="shared" si="1"/>
        <v>Import of Ethanol 1st generation  - Step 1</v>
      </c>
      <c r="G20" s="167" t="str">
        <f t="shared" si="2"/>
        <v>Import</v>
      </c>
      <c r="H20" s="167" t="str">
        <f>B62</f>
        <v>BIOETH1G</v>
      </c>
      <c r="I20" s="167" t="str">
        <f t="shared" si="3"/>
        <v>IMP</v>
      </c>
      <c r="J20" s="167" t="str">
        <f>$V$9</f>
        <v>_S1</v>
      </c>
      <c r="K20" s="167" t="s">
        <v>13</v>
      </c>
    </row>
    <row r="21" spans="2:11">
      <c r="B21" s="167" t="s">
        <v>371</v>
      </c>
      <c r="C21" s="167" t="s">
        <v>309</v>
      </c>
      <c r="E21" s="167" t="str">
        <f t="shared" ref="E21:E28" si="8">I21&amp;H21&amp;J21</f>
        <v>IMPBIOETH1G_S2</v>
      </c>
      <c r="F21" t="str">
        <f t="shared" si="1"/>
        <v>Import of Ethanol 1st generation  - Step 2</v>
      </c>
      <c r="G21" s="167" t="str">
        <f t="shared" si="2"/>
        <v>Import</v>
      </c>
      <c r="H21" s="167" t="str">
        <f>B62</f>
        <v>BIOETH1G</v>
      </c>
      <c r="I21" s="167" t="str">
        <f t="shared" si="3"/>
        <v>IMP</v>
      </c>
      <c r="J21" s="167" t="str">
        <f>$V$10</f>
        <v>_S2</v>
      </c>
      <c r="K21" s="167" t="s">
        <v>13</v>
      </c>
    </row>
    <row r="22" spans="2:11">
      <c r="B22" s="167" t="s">
        <v>301</v>
      </c>
      <c r="C22" s="167" t="s">
        <v>310</v>
      </c>
      <c r="E22" s="167" t="str">
        <f t="shared" si="8"/>
        <v>IMPBIOETH1G_S3</v>
      </c>
      <c r="F22" t="str">
        <f t="shared" si="1"/>
        <v>Import of Ethanol 1st generation  - Step 3</v>
      </c>
      <c r="G22" s="167" t="str">
        <f t="shared" si="2"/>
        <v>Import</v>
      </c>
      <c r="H22" s="167" t="str">
        <f>B62</f>
        <v>BIOETH1G</v>
      </c>
      <c r="I22" s="167" t="str">
        <f t="shared" si="3"/>
        <v>IMP</v>
      </c>
      <c r="J22" s="167" t="str">
        <f>$V$11</f>
        <v>_S3</v>
      </c>
      <c r="K22" s="167" t="s">
        <v>13</v>
      </c>
    </row>
    <row r="23" spans="2:11">
      <c r="B23" s="167" t="s">
        <v>311</v>
      </c>
      <c r="C23" s="167" t="s">
        <v>312</v>
      </c>
      <c r="E23" s="167" t="str">
        <f t="shared" si="8"/>
        <v>IMPBIOETH1G_S4</v>
      </c>
      <c r="F23" t="str">
        <f t="shared" si="1"/>
        <v>Import of Ethanol 1st generation  - Step 4</v>
      </c>
      <c r="G23" s="167" t="str">
        <f t="shared" si="2"/>
        <v>Import</v>
      </c>
      <c r="H23" s="167" t="str">
        <f>B62</f>
        <v>BIOETH1G</v>
      </c>
      <c r="I23" s="167" t="str">
        <f t="shared" si="3"/>
        <v>IMP</v>
      </c>
      <c r="J23" s="167" t="str">
        <f>$V$12</f>
        <v>_S4</v>
      </c>
      <c r="K23" s="167" t="s">
        <v>13</v>
      </c>
    </row>
    <row r="24" spans="2:11">
      <c r="B24" s="167" t="s">
        <v>313</v>
      </c>
      <c r="C24" s="167" t="s">
        <v>314</v>
      </c>
      <c r="E24" s="167" t="str">
        <f t="shared" si="8"/>
        <v>IMPBIODST1G_S1</v>
      </c>
      <c r="F24" t="str">
        <f t="shared" si="1"/>
        <v>Import of Biodiesel 1st generation  - Step 1</v>
      </c>
      <c r="G24" s="167" t="str">
        <f t="shared" si="2"/>
        <v>Import</v>
      </c>
      <c r="H24" s="167" t="str">
        <f>B64</f>
        <v>BIODST1G</v>
      </c>
      <c r="I24" s="167" t="str">
        <f t="shared" si="3"/>
        <v>IMP</v>
      </c>
      <c r="J24" s="167" t="str">
        <f>$V$9</f>
        <v>_S1</v>
      </c>
      <c r="K24" s="167" t="s">
        <v>13</v>
      </c>
    </row>
    <row r="25" spans="2:11">
      <c r="B25" s="181" t="s">
        <v>315</v>
      </c>
      <c r="C25" s="183" t="s">
        <v>316</v>
      </c>
      <c r="E25" s="167" t="str">
        <f t="shared" si="8"/>
        <v>IMPBIODST1G_S2</v>
      </c>
      <c r="F25" t="str">
        <f t="shared" si="1"/>
        <v>Import of Biodiesel 1st generation  - Step 2</v>
      </c>
      <c r="G25" s="167" t="str">
        <f t="shared" si="2"/>
        <v>Import</v>
      </c>
      <c r="H25" s="167" t="str">
        <f>B64</f>
        <v>BIODST1G</v>
      </c>
      <c r="I25" s="167" t="str">
        <f t="shared" si="3"/>
        <v>IMP</v>
      </c>
      <c r="J25" s="167" t="str">
        <f>$V$10</f>
        <v>_S2</v>
      </c>
      <c r="K25" s="167" t="s">
        <v>13</v>
      </c>
    </row>
    <row r="26" spans="2:11">
      <c r="B26" s="181" t="s">
        <v>317</v>
      </c>
      <c r="C26" s="183" t="s">
        <v>318</v>
      </c>
      <c r="E26" s="167" t="str">
        <f t="shared" si="8"/>
        <v>IMPBIODST1G_S3</v>
      </c>
      <c r="F26" t="str">
        <f t="shared" si="1"/>
        <v>Import of Biodiesel 1st generation  - Step 3</v>
      </c>
      <c r="G26" s="167" t="str">
        <f t="shared" si="2"/>
        <v>Import</v>
      </c>
      <c r="H26" s="167" t="str">
        <f>B64</f>
        <v>BIODST1G</v>
      </c>
      <c r="I26" s="167" t="str">
        <f t="shared" si="3"/>
        <v>IMP</v>
      </c>
      <c r="J26" s="167" t="str">
        <f>$V$11</f>
        <v>_S3</v>
      </c>
      <c r="K26" s="167" t="s">
        <v>13</v>
      </c>
    </row>
    <row r="27" spans="2:11">
      <c r="B27" s="181" t="s">
        <v>319</v>
      </c>
      <c r="C27" s="181" t="s">
        <v>320</v>
      </c>
      <c r="E27" s="167" t="str">
        <f t="shared" si="8"/>
        <v>IMPBIODST1G_S4</v>
      </c>
      <c r="F27" t="str">
        <f t="shared" si="1"/>
        <v>Import of Biodiesel 1st generation  - Step 4</v>
      </c>
      <c r="G27" s="167" t="str">
        <f t="shared" si="2"/>
        <v>Import</v>
      </c>
      <c r="H27" s="167" t="str">
        <f>B64</f>
        <v>BIODST1G</v>
      </c>
      <c r="I27" s="167" t="str">
        <f t="shared" si="3"/>
        <v>IMP</v>
      </c>
      <c r="J27" s="167" t="str">
        <f>$V$12</f>
        <v>_S4</v>
      </c>
      <c r="K27" s="167" t="s">
        <v>13</v>
      </c>
    </row>
    <row r="28" spans="2:11">
      <c r="B28" s="181" t="s">
        <v>321</v>
      </c>
      <c r="C28" s="181" t="s">
        <v>322</v>
      </c>
      <c r="E28" s="202" t="str">
        <f t="shared" si="8"/>
        <v>IMPBIOJKR_S1</v>
      </c>
      <c r="F28" s="202" t="str">
        <f t="shared" si="1"/>
        <v>Import of Bio Jet Kerosene - Step 1</v>
      </c>
      <c r="G28" s="202" t="str">
        <f t="shared" si="2"/>
        <v>Import</v>
      </c>
      <c r="H28" s="202" t="str">
        <f>B68</f>
        <v>BIOJKR</v>
      </c>
      <c r="I28" s="202" t="str">
        <f t="shared" si="3"/>
        <v>IMP</v>
      </c>
      <c r="J28" s="202" t="str">
        <f>$V$9</f>
        <v>_S1</v>
      </c>
      <c r="K28" s="202" t="s">
        <v>13</v>
      </c>
    </row>
    <row r="29" spans="2:11">
      <c r="B29" s="181" t="s">
        <v>323</v>
      </c>
      <c r="C29" s="183" t="s">
        <v>324</v>
      </c>
      <c r="E29" s="167" t="str">
        <f t="shared" ref="E29:E41" si="9">I29&amp;H29&amp;J29</f>
        <v>IMPBIOWPE_S1</v>
      </c>
      <c r="F29" t="str">
        <f t="shared" si="1"/>
        <v>Import of Wood Pellets  - Step 1</v>
      </c>
      <c r="G29" s="167" t="str">
        <f t="shared" si="2"/>
        <v>Import</v>
      </c>
      <c r="H29" s="167" t="str">
        <f>B73</f>
        <v>BIOWPE</v>
      </c>
      <c r="I29" s="167" t="str">
        <f t="shared" si="3"/>
        <v>IMP</v>
      </c>
      <c r="J29" s="167" t="str">
        <f>$V$9</f>
        <v>_S1</v>
      </c>
      <c r="K29" s="167" t="s">
        <v>13</v>
      </c>
    </row>
    <row r="30" spans="2:11">
      <c r="B30" s="181" t="s">
        <v>325</v>
      </c>
      <c r="C30" s="183" t="s">
        <v>326</v>
      </c>
      <c r="E30" s="167" t="str">
        <f t="shared" si="9"/>
        <v>IMPBIOWPE_S2</v>
      </c>
      <c r="F30" t="str">
        <f t="shared" si="1"/>
        <v>Import of Wood Pellets  - Step 2</v>
      </c>
      <c r="G30" s="167" t="str">
        <f t="shared" si="2"/>
        <v>Import</v>
      </c>
      <c r="H30" s="167" t="str">
        <f>B73</f>
        <v>BIOWPE</v>
      </c>
      <c r="I30" s="167" t="str">
        <f t="shared" si="3"/>
        <v>IMP</v>
      </c>
      <c r="J30" s="167" t="str">
        <f>$V$10</f>
        <v>_S2</v>
      </c>
      <c r="K30" s="167" t="s">
        <v>13</v>
      </c>
    </row>
    <row r="31" spans="2:11">
      <c r="B31" s="181" t="s">
        <v>327</v>
      </c>
      <c r="C31" s="167" t="s">
        <v>328</v>
      </c>
      <c r="E31" s="167" t="str">
        <f t="shared" si="9"/>
        <v>IMPBIOWPE_S3</v>
      </c>
      <c r="F31" t="str">
        <f t="shared" si="1"/>
        <v>Import of Wood Pellets  - Step 3</v>
      </c>
      <c r="G31" s="167" t="str">
        <f t="shared" si="2"/>
        <v>Import</v>
      </c>
      <c r="H31" s="167" t="str">
        <f>B73</f>
        <v>BIOWPE</v>
      </c>
      <c r="I31" s="167" t="str">
        <f t="shared" si="3"/>
        <v>IMP</v>
      </c>
      <c r="J31" s="167" t="str">
        <f>$V$11</f>
        <v>_S3</v>
      </c>
      <c r="K31" s="167" t="s">
        <v>13</v>
      </c>
    </row>
    <row r="32" spans="2:11">
      <c r="B32" s="181" t="s">
        <v>329</v>
      </c>
      <c r="C32" s="167" t="s">
        <v>330</v>
      </c>
      <c r="E32" s="167" t="str">
        <f t="shared" si="9"/>
        <v>IMPBIOWPE_S4</v>
      </c>
      <c r="F32" t="str">
        <f t="shared" si="1"/>
        <v>Import of Wood Pellets  - Step 4</v>
      </c>
      <c r="G32" s="167" t="str">
        <f t="shared" si="2"/>
        <v>Import</v>
      </c>
      <c r="H32" s="167" t="str">
        <f>B73</f>
        <v>BIOWPE</v>
      </c>
      <c r="I32" s="167" t="str">
        <f t="shared" si="3"/>
        <v>IMP</v>
      </c>
      <c r="J32" s="167" t="str">
        <f>$V$12</f>
        <v>_S4</v>
      </c>
      <c r="K32" s="167" t="s">
        <v>13</v>
      </c>
    </row>
    <row r="33" spans="2:20">
      <c r="B33" s="181" t="s">
        <v>331</v>
      </c>
      <c r="C33" s="167" t="s">
        <v>332</v>
      </c>
      <c r="E33" s="167" t="str">
        <f t="shared" si="9"/>
        <v>IMPBIOWCH_S1</v>
      </c>
      <c r="F33" t="str">
        <f t="shared" si="1"/>
        <v>Import of Wood Chip  - Step 1</v>
      </c>
      <c r="G33" s="167" t="str">
        <f t="shared" si="2"/>
        <v>Import</v>
      </c>
      <c r="H33" s="167" t="str">
        <f>B74</f>
        <v>BIOWCH</v>
      </c>
      <c r="I33" s="167" t="str">
        <f t="shared" si="3"/>
        <v>IMP</v>
      </c>
      <c r="J33" s="167" t="str">
        <f>$V$9</f>
        <v>_S1</v>
      </c>
      <c r="K33" s="167" t="s">
        <v>13</v>
      </c>
    </row>
    <row r="34" spans="2:20">
      <c r="B34" s="181" t="s">
        <v>333</v>
      </c>
      <c r="C34" s="167" t="s">
        <v>265</v>
      </c>
      <c r="E34" s="167" t="str">
        <f t="shared" si="9"/>
        <v>IMPBIOWCH_S2</v>
      </c>
      <c r="F34" t="str">
        <f t="shared" si="1"/>
        <v>Import of Wood Chip  - Step 2</v>
      </c>
      <c r="G34" s="167" t="str">
        <f t="shared" si="2"/>
        <v>Import</v>
      </c>
      <c r="H34" s="167" t="str">
        <f>B74</f>
        <v>BIOWCH</v>
      </c>
      <c r="I34" s="167" t="str">
        <f t="shared" si="3"/>
        <v>IMP</v>
      </c>
      <c r="J34" s="167" t="str">
        <f>$V$10</f>
        <v>_S2</v>
      </c>
      <c r="K34" s="167" t="s">
        <v>13</v>
      </c>
    </row>
    <row r="35" spans="2:20">
      <c r="B35" s="181" t="s">
        <v>281</v>
      </c>
      <c r="C35" s="167" t="s">
        <v>203</v>
      </c>
      <c r="E35" s="167" t="str">
        <f t="shared" si="9"/>
        <v>IMPBIOWCH_S3</v>
      </c>
      <c r="F35" t="str">
        <f t="shared" si="1"/>
        <v>Import of Wood Chip  - Step 3</v>
      </c>
      <c r="G35" s="167" t="str">
        <f t="shared" si="2"/>
        <v>Import</v>
      </c>
      <c r="H35" s="167" t="str">
        <f>B74</f>
        <v>BIOWCH</v>
      </c>
      <c r="I35" s="167" t="str">
        <f t="shared" si="3"/>
        <v>IMP</v>
      </c>
      <c r="J35" s="167" t="str">
        <f>$V$11</f>
        <v>_S3</v>
      </c>
      <c r="K35" s="167" t="s">
        <v>13</v>
      </c>
    </row>
    <row r="36" spans="2:20">
      <c r="B36" s="181" t="s">
        <v>334</v>
      </c>
      <c r="C36" s="167" t="s">
        <v>204</v>
      </c>
      <c r="E36" s="167" t="str">
        <f t="shared" si="9"/>
        <v>IMPBIOWCH_S4</v>
      </c>
      <c r="F36" t="str">
        <f t="shared" si="1"/>
        <v>Import of Wood Chip  - Step 4</v>
      </c>
      <c r="G36" s="167" t="str">
        <f t="shared" si="2"/>
        <v>Import</v>
      </c>
      <c r="H36" s="167" t="str">
        <f>B74</f>
        <v>BIOWCH</v>
      </c>
      <c r="I36" s="167" t="str">
        <f t="shared" si="3"/>
        <v>IMP</v>
      </c>
      <c r="J36" s="167" t="str">
        <f>$V$12</f>
        <v>_S4</v>
      </c>
      <c r="K36" s="167" t="s">
        <v>13</v>
      </c>
      <c r="M36" s="23"/>
      <c r="N36" s="23"/>
      <c r="O36" s="23"/>
      <c r="P36" s="23"/>
      <c r="Q36" s="104"/>
      <c r="R36" s="24"/>
      <c r="S36" s="23"/>
      <c r="T36" s="104"/>
    </row>
    <row r="37" spans="2:20">
      <c r="B37" s="182" t="s">
        <v>368</v>
      </c>
      <c r="C37" s="167" t="s">
        <v>369</v>
      </c>
      <c r="E37" s="167" t="str">
        <f t="shared" si="9"/>
        <v>MINGASNAT_S1</v>
      </c>
      <c r="F37" t="str">
        <f t="shared" ref="F37:F68" si="10">G37 &amp; " of " &amp; VLOOKUP(H37,$B$5:$C$84,2,FALSE) &amp; IF(J37&lt;&gt;0,IF(VLOOKUP(J37,$V$5:$W$12,2,FALSE)&lt;&gt;""," - " &amp; VLOOKUP(J37,$V$5:$W$12,2,FALSE),""),"")</f>
        <v>Domestic Potential of Natural Gas  - Step 1</v>
      </c>
      <c r="G37" s="167" t="str">
        <f t="shared" ref="G37:G68" si="11">VLOOKUP(I37,$S$5:$T$10,2,FALSE)</f>
        <v>Domestic Potential</v>
      </c>
      <c r="H37" s="167" t="str">
        <f>B53</f>
        <v>GASNAT</v>
      </c>
      <c r="I37" s="167" t="str">
        <f t="shared" ref="I37:I78" si="12">$S$5</f>
        <v>MIN</v>
      </c>
      <c r="J37" s="167" t="str">
        <f>$V$9</f>
        <v>_S1</v>
      </c>
      <c r="K37" s="167" t="s">
        <v>9</v>
      </c>
      <c r="M37" s="23"/>
      <c r="N37" s="23"/>
      <c r="O37" s="23"/>
      <c r="P37" s="23"/>
      <c r="Q37" s="23"/>
      <c r="R37" s="24"/>
      <c r="S37" s="23"/>
      <c r="T37" s="23"/>
    </row>
    <row r="38" spans="2:20">
      <c r="B38" s="181" t="s">
        <v>24</v>
      </c>
      <c r="C38" s="167" t="s">
        <v>232</v>
      </c>
      <c r="E38" s="167" t="str">
        <f t="shared" si="9"/>
        <v>MINGASNAT_S2</v>
      </c>
      <c r="F38" t="str">
        <f t="shared" si="10"/>
        <v>Domestic Potential of Natural Gas  - Step 2</v>
      </c>
      <c r="G38" s="167" t="str">
        <f t="shared" si="11"/>
        <v>Domestic Potential</v>
      </c>
      <c r="H38" s="167" t="str">
        <f>B53</f>
        <v>GASNAT</v>
      </c>
      <c r="I38" s="167" t="str">
        <f t="shared" si="12"/>
        <v>MIN</v>
      </c>
      <c r="J38" s="167" t="str">
        <f>$V$10</f>
        <v>_S2</v>
      </c>
      <c r="K38" s="167" t="s">
        <v>9</v>
      </c>
      <c r="M38" s="104"/>
      <c r="N38" s="23"/>
      <c r="O38" s="23"/>
      <c r="P38" s="23"/>
      <c r="Q38" s="104"/>
      <c r="R38" s="24"/>
      <c r="S38" s="23"/>
      <c r="T38" s="104"/>
    </row>
    <row r="39" spans="2:20">
      <c r="B39" s="181" t="s">
        <v>26</v>
      </c>
      <c r="C39" s="167" t="s">
        <v>233</v>
      </c>
      <c r="E39" s="167" t="str">
        <f t="shared" si="9"/>
        <v>MINPEAT_S1</v>
      </c>
      <c r="F39" t="str">
        <f t="shared" si="10"/>
        <v>Domestic Potential of Peat  - Step 1</v>
      </c>
      <c r="G39" s="167" t="str">
        <f t="shared" si="11"/>
        <v>Domestic Potential</v>
      </c>
      <c r="H39" s="167" t="str">
        <f>B42</f>
        <v>PEAT</v>
      </c>
      <c r="I39" s="167" t="str">
        <f t="shared" si="12"/>
        <v>MIN</v>
      </c>
      <c r="J39" s="167" t="str">
        <f>$V$9</f>
        <v>_S1</v>
      </c>
      <c r="K39" s="167" t="s">
        <v>9</v>
      </c>
    </row>
    <row r="40" spans="2:20">
      <c r="B40" s="181" t="s">
        <v>25</v>
      </c>
      <c r="C40" s="167" t="s">
        <v>234</v>
      </c>
      <c r="E40" s="167" t="str">
        <f t="shared" si="9"/>
        <v>MINPEAT_S2</v>
      </c>
      <c r="F40" t="str">
        <f t="shared" si="10"/>
        <v>Domestic Potential of Peat  - Step 2</v>
      </c>
      <c r="G40" s="167" t="str">
        <f t="shared" si="11"/>
        <v>Domestic Potential</v>
      </c>
      <c r="H40" s="167" t="str">
        <f>B42</f>
        <v>PEAT</v>
      </c>
      <c r="I40" s="167" t="str">
        <f t="shared" si="12"/>
        <v>MIN</v>
      </c>
      <c r="J40" s="167" t="str">
        <f>$V$10</f>
        <v>_S2</v>
      </c>
      <c r="K40" s="167" t="s">
        <v>9</v>
      </c>
    </row>
    <row r="41" spans="2:20">
      <c r="B41" s="181" t="s">
        <v>272</v>
      </c>
      <c r="C41" s="167" t="s">
        <v>235</v>
      </c>
      <c r="E41" s="167" t="str">
        <f t="shared" si="9"/>
        <v>MINRENHYD</v>
      </c>
      <c r="F41" t="str">
        <f t="shared" si="10"/>
        <v xml:space="preserve">Domestic Potential of Hydro </v>
      </c>
      <c r="G41" s="167" t="str">
        <f t="shared" si="11"/>
        <v>Domestic Potential</v>
      </c>
      <c r="H41" s="167" t="str">
        <f t="shared" ref="H41:H46" si="13">B56</f>
        <v>RENHYD</v>
      </c>
      <c r="I41" s="167" t="str">
        <f t="shared" si="12"/>
        <v>MIN</v>
      </c>
      <c r="J41" s="167"/>
      <c r="K41" s="167" t="s">
        <v>9</v>
      </c>
    </row>
    <row r="42" spans="2:20">
      <c r="B42" s="181" t="s">
        <v>12</v>
      </c>
      <c r="C42" s="167" t="s">
        <v>236</v>
      </c>
      <c r="E42" s="167" t="str">
        <f t="shared" ref="E42:E47" si="14">I42&amp;H42&amp;J42</f>
        <v>MINRENWIN</v>
      </c>
      <c r="F42" t="str">
        <f t="shared" si="10"/>
        <v xml:space="preserve">Domestic Potential of Wind </v>
      </c>
      <c r="G42" s="167" t="str">
        <f t="shared" si="11"/>
        <v>Domestic Potential</v>
      </c>
      <c r="H42" s="167" t="str">
        <f t="shared" si="13"/>
        <v>RENWIN</v>
      </c>
      <c r="I42" s="167" t="str">
        <f t="shared" si="12"/>
        <v>MIN</v>
      </c>
      <c r="J42" s="167"/>
      <c r="K42" s="167" t="s">
        <v>9</v>
      </c>
    </row>
    <row r="43" spans="2:20">
      <c r="B43" s="181" t="s">
        <v>28</v>
      </c>
      <c r="C43" s="167" t="s">
        <v>237</v>
      </c>
      <c r="E43" s="167" t="str">
        <f t="shared" si="14"/>
        <v>MINRENSOL</v>
      </c>
      <c r="F43" t="str">
        <f t="shared" si="10"/>
        <v xml:space="preserve">Domestic Potential of Solar </v>
      </c>
      <c r="G43" s="167" t="str">
        <f t="shared" si="11"/>
        <v>Domestic Potential</v>
      </c>
      <c r="H43" s="167" t="str">
        <f t="shared" si="13"/>
        <v>RENSOL</v>
      </c>
      <c r="I43" s="167" t="str">
        <f t="shared" si="12"/>
        <v>MIN</v>
      </c>
      <c r="J43" s="167"/>
      <c r="K43" s="167" t="s">
        <v>9</v>
      </c>
    </row>
    <row r="44" spans="2:20">
      <c r="B44" s="182" t="s">
        <v>209</v>
      </c>
      <c r="C44" s="167" t="s">
        <v>238</v>
      </c>
      <c r="E44" s="167" t="str">
        <f t="shared" si="14"/>
        <v>MINMSWAS</v>
      </c>
      <c r="F44" t="str">
        <f t="shared" si="10"/>
        <v xml:space="preserve">Domestic Potential of Municipal Solid Waste </v>
      </c>
      <c r="G44" s="167" t="str">
        <f t="shared" si="11"/>
        <v>Domestic Potential</v>
      </c>
      <c r="H44" s="167" t="str">
        <f t="shared" si="13"/>
        <v>MSWAS</v>
      </c>
      <c r="I44" s="167" t="str">
        <f t="shared" si="12"/>
        <v>MIN</v>
      </c>
      <c r="J44" s="167"/>
      <c r="K44" s="167" t="s">
        <v>9</v>
      </c>
    </row>
    <row r="45" spans="2:20">
      <c r="B45" s="181" t="s">
        <v>32</v>
      </c>
      <c r="C45" s="167" t="s">
        <v>239</v>
      </c>
      <c r="E45" s="167" t="str">
        <f t="shared" si="14"/>
        <v>MINRENOCE</v>
      </c>
      <c r="F45" t="str">
        <f t="shared" si="10"/>
        <v xml:space="preserve">Domestic Potential of Ocean </v>
      </c>
      <c r="G45" s="167" t="str">
        <f t="shared" si="11"/>
        <v>Domestic Potential</v>
      </c>
      <c r="H45" s="167" t="str">
        <f t="shared" si="13"/>
        <v>RENOCE</v>
      </c>
      <c r="I45" s="167" t="str">
        <f t="shared" si="12"/>
        <v>MIN</v>
      </c>
      <c r="J45" s="167"/>
      <c r="K45" s="167" t="s">
        <v>9</v>
      </c>
    </row>
    <row r="46" spans="2:20">
      <c r="B46" s="181" t="s">
        <v>31</v>
      </c>
      <c r="C46" s="167" t="s">
        <v>240</v>
      </c>
      <c r="E46" s="167" t="str">
        <f t="shared" si="14"/>
        <v>MINRENAHT</v>
      </c>
      <c r="F46" t="str">
        <f t="shared" si="10"/>
        <v>Domestic Potential of Ambient Heat</v>
      </c>
      <c r="G46" s="167" t="str">
        <f t="shared" si="11"/>
        <v>Domestic Potential</v>
      </c>
      <c r="H46" s="167" t="str">
        <f t="shared" si="13"/>
        <v>RENAHT</v>
      </c>
      <c r="I46" s="167" t="str">
        <f t="shared" si="12"/>
        <v>MIN</v>
      </c>
      <c r="J46" s="167"/>
      <c r="K46" s="167" t="s">
        <v>9</v>
      </c>
    </row>
    <row r="47" spans="2:20">
      <c r="B47" s="181" t="s">
        <v>29</v>
      </c>
      <c r="C47" s="167" t="s">
        <v>241</v>
      </c>
      <c r="E47" s="167" t="str">
        <f t="shared" si="14"/>
        <v>MINBIOWOO1_S1</v>
      </c>
      <c r="F47" t="str">
        <f t="shared" si="10"/>
        <v>Domestic Potential of Sawmill residues - Step 1</v>
      </c>
      <c r="G47" s="167" t="str">
        <f t="shared" si="11"/>
        <v>Domestic Potential</v>
      </c>
      <c r="H47" s="167" t="str">
        <f>$B$70</f>
        <v>BIOWOO1</v>
      </c>
      <c r="I47" s="167" t="str">
        <f t="shared" si="12"/>
        <v>MIN</v>
      </c>
      <c r="J47" s="167" t="str">
        <f>$V$9</f>
        <v>_S1</v>
      </c>
      <c r="K47" s="167" t="s">
        <v>9</v>
      </c>
    </row>
    <row r="48" spans="2:20">
      <c r="B48" s="181" t="s">
        <v>33</v>
      </c>
      <c r="C48" s="167" t="s">
        <v>242</v>
      </c>
      <c r="E48" s="167" t="str">
        <f t="shared" ref="E48:E56" si="15">I48&amp;H48&amp;J48</f>
        <v>MINBIOWOO1_S2</v>
      </c>
      <c r="F48" t="str">
        <f t="shared" si="10"/>
        <v>Domestic Potential of Sawmill residues - Step 2</v>
      </c>
      <c r="G48" s="167" t="str">
        <f t="shared" si="11"/>
        <v>Domestic Potential</v>
      </c>
      <c r="H48" s="167" t="str">
        <f>$B$70</f>
        <v>BIOWOO1</v>
      </c>
      <c r="I48" s="167" t="str">
        <f t="shared" si="12"/>
        <v>MIN</v>
      </c>
      <c r="J48" s="167" t="str">
        <f>$V$10</f>
        <v>_S2</v>
      </c>
      <c r="K48" s="167" t="s">
        <v>9</v>
      </c>
    </row>
    <row r="49" spans="2:11">
      <c r="B49" s="181" t="s">
        <v>30</v>
      </c>
      <c r="C49" s="167" t="s">
        <v>243</v>
      </c>
      <c r="E49" s="167" t="str">
        <f t="shared" si="15"/>
        <v>MINBIOWOO1_S3</v>
      </c>
      <c r="F49" t="str">
        <f t="shared" si="10"/>
        <v>Domestic Potential of Sawmill residues - Step 3</v>
      </c>
      <c r="G49" s="167" t="str">
        <f t="shared" si="11"/>
        <v>Domestic Potential</v>
      </c>
      <c r="H49" s="167" t="str">
        <f>$B$70</f>
        <v>BIOWOO1</v>
      </c>
      <c r="I49" s="167" t="str">
        <f t="shared" si="12"/>
        <v>MIN</v>
      </c>
      <c r="J49" s="167" t="str">
        <f>$V$11</f>
        <v>_S3</v>
      </c>
      <c r="K49" s="167" t="s">
        <v>9</v>
      </c>
    </row>
    <row r="50" spans="2:11">
      <c r="B50" s="181" t="s">
        <v>73</v>
      </c>
      <c r="C50" s="167" t="s">
        <v>244</v>
      </c>
      <c r="E50" s="167" t="str">
        <f t="shared" si="15"/>
        <v>MINBIOWOO2_S1</v>
      </c>
      <c r="F50" t="str">
        <f t="shared" si="10"/>
        <v>Domestic Potential of Post-Consumer Recycled Wood - Step 1</v>
      </c>
      <c r="G50" s="167" t="str">
        <f t="shared" si="11"/>
        <v>Domestic Potential</v>
      </c>
      <c r="H50" s="167" t="str">
        <f>$B$71</f>
        <v>BIOWOO2</v>
      </c>
      <c r="I50" s="167" t="str">
        <f t="shared" si="12"/>
        <v>MIN</v>
      </c>
      <c r="J50" s="167" t="str">
        <f>$V$9</f>
        <v>_S1</v>
      </c>
      <c r="K50" s="167" t="s">
        <v>9</v>
      </c>
    </row>
    <row r="51" spans="2:11">
      <c r="B51" s="182" t="s">
        <v>210</v>
      </c>
      <c r="C51" s="167" t="s">
        <v>245</v>
      </c>
      <c r="E51" s="167" t="str">
        <f t="shared" si="15"/>
        <v>MINBIOWOO2_S2</v>
      </c>
      <c r="F51" t="str">
        <f t="shared" si="10"/>
        <v>Domestic Potential of Post-Consumer Recycled Wood - Step 2</v>
      </c>
      <c r="G51" s="167" t="str">
        <f t="shared" si="11"/>
        <v>Domestic Potential</v>
      </c>
      <c r="H51" s="167" t="str">
        <f>$B$71</f>
        <v>BIOWOO2</v>
      </c>
      <c r="I51" s="167" t="str">
        <f t="shared" si="12"/>
        <v>MIN</v>
      </c>
      <c r="J51" s="167" t="str">
        <f>$V$10</f>
        <v>_S2</v>
      </c>
      <c r="K51" s="167" t="s">
        <v>9</v>
      </c>
    </row>
    <row r="52" spans="2:11">
      <c r="B52" s="181" t="s">
        <v>273</v>
      </c>
      <c r="C52" s="167" t="s">
        <v>274</v>
      </c>
      <c r="E52" s="167" t="str">
        <f t="shared" si="15"/>
        <v>MINBIOWOO2_S3</v>
      </c>
      <c r="F52" t="str">
        <f t="shared" si="10"/>
        <v>Domestic Potential of Post-Consumer Recycled Wood - Step 3</v>
      </c>
      <c r="G52" s="167" t="str">
        <f t="shared" si="11"/>
        <v>Domestic Potential</v>
      </c>
      <c r="H52" s="167" t="str">
        <f>$B$71</f>
        <v>BIOWOO2</v>
      </c>
      <c r="I52" s="167" t="str">
        <f t="shared" si="12"/>
        <v>MIN</v>
      </c>
      <c r="J52" s="167" t="str">
        <f>$V$11</f>
        <v>_S3</v>
      </c>
      <c r="K52" s="167" t="s">
        <v>9</v>
      </c>
    </row>
    <row r="53" spans="2:11">
      <c r="B53" s="181" t="s">
        <v>11</v>
      </c>
      <c r="C53" s="167" t="s">
        <v>230</v>
      </c>
      <c r="E53" s="167" t="str">
        <f t="shared" si="15"/>
        <v>MINBIOWOO3_S1</v>
      </c>
      <c r="F53" t="str">
        <f t="shared" si="10"/>
        <v>Domestic Potential of Straw - Step 1</v>
      </c>
      <c r="G53" s="167" t="str">
        <f t="shared" si="11"/>
        <v>Domestic Potential</v>
      </c>
      <c r="H53" s="167" t="str">
        <f>$B$72</f>
        <v>BIOWOO3</v>
      </c>
      <c r="I53" s="167" t="str">
        <f t="shared" si="12"/>
        <v>MIN</v>
      </c>
      <c r="J53" s="167" t="str">
        <f>$V$9</f>
        <v>_S1</v>
      </c>
      <c r="K53" s="167" t="s">
        <v>9</v>
      </c>
    </row>
    <row r="54" spans="2:11">
      <c r="B54" s="181" t="s">
        <v>27</v>
      </c>
      <c r="C54" s="167" t="s">
        <v>231</v>
      </c>
      <c r="E54" s="167" t="str">
        <f t="shared" si="15"/>
        <v>MINBIOWOO3_S2</v>
      </c>
      <c r="F54" t="str">
        <f t="shared" si="10"/>
        <v>Domestic Potential of Straw - Step 2</v>
      </c>
      <c r="G54" s="167" t="str">
        <f t="shared" si="11"/>
        <v>Domestic Potential</v>
      </c>
      <c r="H54" s="167" t="str">
        <f>$B$72</f>
        <v>BIOWOO3</v>
      </c>
      <c r="I54" s="167" t="str">
        <f t="shared" si="12"/>
        <v>MIN</v>
      </c>
      <c r="J54" s="167" t="str">
        <f>$V$10</f>
        <v>_S2</v>
      </c>
      <c r="K54" s="167" t="s">
        <v>9</v>
      </c>
    </row>
    <row r="55" spans="2:11">
      <c r="B55" s="181" t="s">
        <v>357</v>
      </c>
      <c r="C55" s="167" t="s">
        <v>265</v>
      </c>
      <c r="E55" s="167" t="str">
        <f t="shared" si="15"/>
        <v>MINBIOWOO3_S3</v>
      </c>
      <c r="F55" t="str">
        <f t="shared" si="10"/>
        <v>Domestic Potential of Straw - Step 3</v>
      </c>
      <c r="G55" s="167" t="str">
        <f t="shared" si="11"/>
        <v>Domestic Potential</v>
      </c>
      <c r="H55" s="167" t="str">
        <f>$B$72</f>
        <v>BIOWOO3</v>
      </c>
      <c r="I55" s="167" t="str">
        <f t="shared" si="12"/>
        <v>MIN</v>
      </c>
      <c r="J55" s="167" t="str">
        <f>$V$11</f>
        <v>_S3</v>
      </c>
      <c r="K55" s="167" t="s">
        <v>9</v>
      </c>
    </row>
    <row r="56" spans="2:11">
      <c r="B56" s="181" t="s">
        <v>34</v>
      </c>
      <c r="C56" s="167" t="s">
        <v>246</v>
      </c>
      <c r="E56" s="167" t="str">
        <f t="shared" si="15"/>
        <v>MINBIOMSW1_S1</v>
      </c>
      <c r="F56" t="str">
        <f t="shared" si="10"/>
        <v>Domestic Potential of Biodegradable Municipal Solid Waste potential - Solid  - Step 1</v>
      </c>
      <c r="G56" s="167" t="str">
        <f t="shared" si="11"/>
        <v>Domestic Potential</v>
      </c>
      <c r="H56" s="167" t="str">
        <f>$B$75</f>
        <v>BIOMSW1</v>
      </c>
      <c r="I56" s="167" t="str">
        <f t="shared" si="12"/>
        <v>MIN</v>
      </c>
      <c r="J56" s="167" t="str">
        <f>$V$9</f>
        <v>_S1</v>
      </c>
      <c r="K56" s="167" t="s">
        <v>9</v>
      </c>
    </row>
    <row r="57" spans="2:11">
      <c r="B57" s="181" t="s">
        <v>35</v>
      </c>
      <c r="C57" s="167" t="s">
        <v>247</v>
      </c>
      <c r="E57" s="167" t="str">
        <f t="shared" ref="E57:E67" si="16">I57&amp;H57&amp;J57</f>
        <v>MINBIOMSW1_S2</v>
      </c>
      <c r="F57" t="str">
        <f t="shared" si="10"/>
        <v>Domestic Potential of Biodegradable Municipal Solid Waste potential - Solid  - Step 2</v>
      </c>
      <c r="G57" s="167" t="str">
        <f t="shared" si="11"/>
        <v>Domestic Potential</v>
      </c>
      <c r="H57" s="167" t="str">
        <f>$B$75</f>
        <v>BIOMSW1</v>
      </c>
      <c r="I57" s="167" t="str">
        <f t="shared" si="12"/>
        <v>MIN</v>
      </c>
      <c r="J57" s="167" t="str">
        <f>$V$10</f>
        <v>_S2</v>
      </c>
      <c r="K57" s="167" t="s">
        <v>9</v>
      </c>
    </row>
    <row r="58" spans="2:11">
      <c r="B58" s="182" t="s">
        <v>36</v>
      </c>
      <c r="C58" s="167" t="s">
        <v>248</v>
      </c>
      <c r="E58" s="167" t="str">
        <f t="shared" si="16"/>
        <v>MINBIOMSW1_S3</v>
      </c>
      <c r="F58" t="str">
        <f t="shared" si="10"/>
        <v>Domestic Potential of Biodegradable Municipal Solid Waste potential - Solid  - Step 3</v>
      </c>
      <c r="G58" s="167" t="str">
        <f t="shared" si="11"/>
        <v>Domestic Potential</v>
      </c>
      <c r="H58" s="167" t="str">
        <f>$B$75</f>
        <v>BIOMSW1</v>
      </c>
      <c r="I58" s="167" t="str">
        <f t="shared" si="12"/>
        <v>MIN</v>
      </c>
      <c r="J58" s="167" t="str">
        <f>$V$11</f>
        <v>_S3</v>
      </c>
      <c r="K58" s="167" t="s">
        <v>9</v>
      </c>
    </row>
    <row r="59" spans="2:11">
      <c r="B59" s="181" t="s">
        <v>56</v>
      </c>
      <c r="C59" s="167" t="s">
        <v>249</v>
      </c>
      <c r="E59" s="167" t="str">
        <f t="shared" si="16"/>
        <v>MINBIOMSW2_S1</v>
      </c>
      <c r="F59" t="str">
        <f t="shared" si="10"/>
        <v>Domestic Potential of Biodegradable Municipal Solid Waste  - Step 1</v>
      </c>
      <c r="G59" s="167" t="str">
        <f t="shared" si="11"/>
        <v>Domestic Potential</v>
      </c>
      <c r="H59" s="167" t="str">
        <f>$B$76</f>
        <v>BIOMSW2</v>
      </c>
      <c r="I59" s="167" t="str">
        <f t="shared" si="12"/>
        <v>MIN</v>
      </c>
      <c r="J59" s="167" t="str">
        <f>$V$9</f>
        <v>_S1</v>
      </c>
      <c r="K59" s="167" t="s">
        <v>9</v>
      </c>
    </row>
    <row r="60" spans="2:11">
      <c r="B60" s="181" t="s">
        <v>37</v>
      </c>
      <c r="C60" s="167" t="s">
        <v>250</v>
      </c>
      <c r="E60" s="167" t="str">
        <f t="shared" si="16"/>
        <v>MINBIOMSW2_S2</v>
      </c>
      <c r="F60" t="str">
        <f t="shared" si="10"/>
        <v>Domestic Potential of Biodegradable Municipal Solid Waste  - Step 2</v>
      </c>
      <c r="G60" s="167" t="str">
        <f t="shared" si="11"/>
        <v>Domestic Potential</v>
      </c>
      <c r="H60" s="167" t="str">
        <f>$B$76</f>
        <v>BIOMSW2</v>
      </c>
      <c r="I60" s="167" t="str">
        <f t="shared" si="12"/>
        <v>MIN</v>
      </c>
      <c r="J60" s="167" t="str">
        <f>$V$10</f>
        <v>_S2</v>
      </c>
      <c r="K60" s="167" t="s">
        <v>9</v>
      </c>
    </row>
    <row r="61" spans="2:11">
      <c r="B61" s="181" t="s">
        <v>577</v>
      </c>
      <c r="C61" s="167" t="s">
        <v>442</v>
      </c>
      <c r="E61" s="167" t="str">
        <f t="shared" si="16"/>
        <v>MINBIOMSW2_S3</v>
      </c>
      <c r="F61" t="str">
        <f t="shared" si="10"/>
        <v>Domestic Potential of Biodegradable Municipal Solid Waste  - Step 3</v>
      </c>
      <c r="G61" s="167" t="str">
        <f t="shared" si="11"/>
        <v>Domestic Potential</v>
      </c>
      <c r="H61" s="167" t="str">
        <f>$B$76</f>
        <v>BIOMSW2</v>
      </c>
      <c r="I61" s="167" t="str">
        <f t="shared" si="12"/>
        <v>MIN</v>
      </c>
      <c r="J61" s="167" t="str">
        <f>$V$11</f>
        <v>_S3</v>
      </c>
      <c r="K61" s="167" t="s">
        <v>9</v>
      </c>
    </row>
    <row r="62" spans="2:11">
      <c r="B62" s="181" t="s">
        <v>69</v>
      </c>
      <c r="C62" s="167" t="s">
        <v>251</v>
      </c>
      <c r="E62" s="167" t="str">
        <f t="shared" si="16"/>
        <v>MINBIOTLW_S1</v>
      </c>
      <c r="F62" t="str">
        <f t="shared" si="10"/>
        <v>Domestic Potential of Tallow  - Step 1</v>
      </c>
      <c r="G62" s="167" t="str">
        <f t="shared" si="11"/>
        <v>Domestic Potential</v>
      </c>
      <c r="H62" s="167" t="str">
        <f>$B$77</f>
        <v>BIOTLW</v>
      </c>
      <c r="I62" s="167" t="str">
        <f t="shared" si="12"/>
        <v>MIN</v>
      </c>
      <c r="J62" s="167" t="str">
        <f>$V$9</f>
        <v>_S1</v>
      </c>
      <c r="K62" s="167" t="s">
        <v>9</v>
      </c>
    </row>
    <row r="63" spans="2:11">
      <c r="B63" s="181" t="s">
        <v>71</v>
      </c>
      <c r="C63" s="167" t="s">
        <v>252</v>
      </c>
      <c r="E63" s="167" t="str">
        <f t="shared" si="16"/>
        <v>MINBIOTLW_S2</v>
      </c>
      <c r="F63" t="str">
        <f t="shared" si="10"/>
        <v>Domestic Potential of Tallow  - Step 2</v>
      </c>
      <c r="G63" s="167" t="str">
        <f t="shared" si="11"/>
        <v>Domestic Potential</v>
      </c>
      <c r="H63" s="167" t="str">
        <f>$B$77</f>
        <v>BIOTLW</v>
      </c>
      <c r="I63" s="167" t="str">
        <f t="shared" si="12"/>
        <v>MIN</v>
      </c>
      <c r="J63" s="167" t="str">
        <f>$V$10</f>
        <v>_S2</v>
      </c>
      <c r="K63" s="167" t="s">
        <v>9</v>
      </c>
    </row>
    <row r="64" spans="2:11">
      <c r="B64" s="181" t="s">
        <v>70</v>
      </c>
      <c r="C64" s="167" t="s">
        <v>253</v>
      </c>
      <c r="E64" s="167" t="str">
        <f t="shared" si="16"/>
        <v>MINBIOTLW_S3</v>
      </c>
      <c r="F64" t="str">
        <f t="shared" si="10"/>
        <v>Domestic Potential of Tallow  - Step 3</v>
      </c>
      <c r="G64" s="167" t="str">
        <f t="shared" si="11"/>
        <v>Domestic Potential</v>
      </c>
      <c r="H64" s="167" t="str">
        <f>$B$77</f>
        <v>BIOTLW</v>
      </c>
      <c r="I64" s="167" t="str">
        <f t="shared" si="12"/>
        <v>MIN</v>
      </c>
      <c r="J64" s="167" t="str">
        <f>$V$11</f>
        <v>_S3</v>
      </c>
      <c r="K64" s="167" t="s">
        <v>9</v>
      </c>
    </row>
    <row r="65" spans="2:11">
      <c r="B65" s="182" t="s">
        <v>72</v>
      </c>
      <c r="C65" s="167" t="s">
        <v>452</v>
      </c>
      <c r="E65" s="167" t="str">
        <f t="shared" si="16"/>
        <v>MINBIORVO_S1</v>
      </c>
      <c r="F65" t="str">
        <f t="shared" si="10"/>
        <v>Domestic Potential of Recovered Vegetable Oil  - Step 1</v>
      </c>
      <c r="G65" s="167" t="str">
        <f t="shared" si="11"/>
        <v>Domestic Potential</v>
      </c>
      <c r="H65" s="167" t="str">
        <f>$B$78</f>
        <v>BIORVO</v>
      </c>
      <c r="I65" s="167" t="str">
        <f t="shared" si="12"/>
        <v>MIN</v>
      </c>
      <c r="J65" s="167" t="str">
        <f>$V$9</f>
        <v>_S1</v>
      </c>
      <c r="K65" s="167" t="s">
        <v>9</v>
      </c>
    </row>
    <row r="66" spans="2:11">
      <c r="B66" s="181" t="s">
        <v>143</v>
      </c>
      <c r="C66" s="167" t="s">
        <v>254</v>
      </c>
      <c r="E66" s="167" t="str">
        <f t="shared" si="16"/>
        <v>MINBIORVO_S2</v>
      </c>
      <c r="F66" t="str">
        <f t="shared" si="10"/>
        <v>Domestic Potential of Recovered Vegetable Oil  - Step 2</v>
      </c>
      <c r="G66" s="167" t="str">
        <f t="shared" si="11"/>
        <v>Domestic Potential</v>
      </c>
      <c r="H66" s="167" t="str">
        <f>$B$78</f>
        <v>BIORVO</v>
      </c>
      <c r="I66" s="167" t="str">
        <f t="shared" si="12"/>
        <v>MIN</v>
      </c>
      <c r="J66" s="167" t="str">
        <f>$V$10</f>
        <v>_S2</v>
      </c>
      <c r="K66" s="167" t="s">
        <v>9</v>
      </c>
    </row>
    <row r="67" spans="2:11">
      <c r="B67" s="181" t="s">
        <v>144</v>
      </c>
      <c r="C67" s="167" t="s">
        <v>255</v>
      </c>
      <c r="E67" s="167" t="str">
        <f t="shared" si="16"/>
        <v>MINBIORVO_S3</v>
      </c>
      <c r="F67" t="str">
        <f t="shared" si="10"/>
        <v>Domestic Potential of Recovered Vegetable Oil  - Step 3</v>
      </c>
      <c r="G67" s="167" t="str">
        <f t="shared" si="11"/>
        <v>Domestic Potential</v>
      </c>
      <c r="H67" s="167" t="str">
        <f>$B$78</f>
        <v>BIORVO</v>
      </c>
      <c r="I67" s="167" t="str">
        <f t="shared" si="12"/>
        <v>MIN</v>
      </c>
      <c r="J67" s="167" t="str">
        <f>$V$11</f>
        <v>_S3</v>
      </c>
      <c r="K67" s="167" t="s">
        <v>9</v>
      </c>
    </row>
    <row r="68" spans="2:11">
      <c r="B68" s="201" t="s">
        <v>441</v>
      </c>
      <c r="C68" s="202" t="s">
        <v>440</v>
      </c>
      <c r="E68" s="167" t="str">
        <f t="shared" ref="E68:E76" si="17">I68&amp;H68&amp;J68</f>
        <v>MINBIOCATW_S1</v>
      </c>
      <c r="F68" t="str">
        <f t="shared" si="10"/>
        <v>Domestic Potential of Cattle Waste  - Step 1</v>
      </c>
      <c r="G68" s="167" t="str">
        <f t="shared" si="11"/>
        <v>Domestic Potential</v>
      </c>
      <c r="H68" s="167" t="str">
        <f>$B$79</f>
        <v>BIOCATW</v>
      </c>
      <c r="I68" s="167" t="str">
        <f t="shared" si="12"/>
        <v>MIN</v>
      </c>
      <c r="J68" s="167" t="str">
        <f>$V$9</f>
        <v>_S1</v>
      </c>
      <c r="K68" s="167" t="s">
        <v>9</v>
      </c>
    </row>
    <row r="69" spans="2:11">
      <c r="B69" s="181" t="s">
        <v>132</v>
      </c>
      <c r="C69" s="167" t="s">
        <v>418</v>
      </c>
      <c r="E69" s="167" t="str">
        <f t="shared" si="17"/>
        <v>MINBIOCATW_S2</v>
      </c>
      <c r="F69" t="str">
        <f t="shared" ref="F69:F79" si="18">G69 &amp; " of " &amp; VLOOKUP(H69,$B$5:$C$84,2,FALSE) &amp; IF(J69&lt;&gt;0,IF(VLOOKUP(J69,$V$5:$W$12,2,FALSE)&lt;&gt;""," - " &amp; VLOOKUP(J69,$V$5:$W$12,2,FALSE),""),"")</f>
        <v>Domestic Potential of Cattle Waste  - Step 2</v>
      </c>
      <c r="G69" s="167" t="str">
        <f t="shared" ref="G69:G86" si="19">VLOOKUP(I69,$S$5:$T$10,2,FALSE)</f>
        <v>Domestic Potential</v>
      </c>
      <c r="H69" s="167" t="str">
        <f>$B$79</f>
        <v>BIOCATW</v>
      </c>
      <c r="I69" s="167" t="str">
        <f t="shared" si="12"/>
        <v>MIN</v>
      </c>
      <c r="J69" s="167" t="str">
        <f>$V$10</f>
        <v>_S2</v>
      </c>
      <c r="K69" s="167" t="s">
        <v>9</v>
      </c>
    </row>
    <row r="70" spans="2:11">
      <c r="B70" s="181" t="s">
        <v>415</v>
      </c>
      <c r="C70" s="167" t="s">
        <v>419</v>
      </c>
      <c r="E70" s="167" t="str">
        <f t="shared" si="17"/>
        <v>MINBIOCATW_S3</v>
      </c>
      <c r="F70" t="str">
        <f t="shared" si="18"/>
        <v>Domestic Potential of Cattle Waste  - Step 3</v>
      </c>
      <c r="G70" s="167" t="str">
        <f t="shared" si="19"/>
        <v>Domestic Potential</v>
      </c>
      <c r="H70" s="167" t="str">
        <f>$B$79</f>
        <v>BIOCATW</v>
      </c>
      <c r="I70" s="167" t="str">
        <f t="shared" si="12"/>
        <v>MIN</v>
      </c>
      <c r="J70" s="167" t="str">
        <f>$V$11</f>
        <v>_S3</v>
      </c>
      <c r="K70" s="167" t="s">
        <v>9</v>
      </c>
    </row>
    <row r="71" spans="2:11">
      <c r="B71" s="181" t="s">
        <v>416</v>
      </c>
      <c r="C71" s="167" t="s">
        <v>420</v>
      </c>
      <c r="E71" s="167" t="str">
        <f t="shared" si="17"/>
        <v>MINBIOPIGW_S1</v>
      </c>
      <c r="F71" t="str">
        <f t="shared" si="18"/>
        <v>Domestic Potential of Pig Waste  - Step 1</v>
      </c>
      <c r="G71" s="167" t="str">
        <f t="shared" si="19"/>
        <v>Domestic Potential</v>
      </c>
      <c r="H71" s="167" t="str">
        <f>$B$80</f>
        <v>BIOPIGW</v>
      </c>
      <c r="I71" s="167" t="str">
        <f t="shared" si="12"/>
        <v>MIN</v>
      </c>
      <c r="J71" s="167" t="str">
        <f>$V$9</f>
        <v>_S1</v>
      </c>
      <c r="K71" s="167" t="s">
        <v>9</v>
      </c>
    </row>
    <row r="72" spans="2:11">
      <c r="B72" s="181" t="s">
        <v>417</v>
      </c>
      <c r="C72" s="167" t="s">
        <v>421</v>
      </c>
      <c r="E72" s="167" t="str">
        <f t="shared" si="17"/>
        <v>MINBIOPIGW_S2</v>
      </c>
      <c r="F72" t="str">
        <f t="shared" si="18"/>
        <v>Domestic Potential of Pig Waste  - Step 2</v>
      </c>
      <c r="G72" s="167" t="str">
        <f t="shared" si="19"/>
        <v>Domestic Potential</v>
      </c>
      <c r="H72" s="167" t="str">
        <f>$B$80</f>
        <v>BIOPIGW</v>
      </c>
      <c r="I72" s="167" t="str">
        <f t="shared" si="12"/>
        <v>MIN</v>
      </c>
      <c r="J72" s="167" t="str">
        <f>$V$10</f>
        <v>_S2</v>
      </c>
      <c r="K72" s="167" t="s">
        <v>9</v>
      </c>
    </row>
    <row r="73" spans="2:11">
      <c r="B73" s="181" t="s">
        <v>60</v>
      </c>
      <c r="C73" s="167" t="s">
        <v>256</v>
      </c>
      <c r="E73" s="167" t="str">
        <f t="shared" si="17"/>
        <v>MINBIOPIGW_S3</v>
      </c>
      <c r="F73" t="str">
        <f t="shared" si="18"/>
        <v>Domestic Potential of Pig Waste  - Step 3</v>
      </c>
      <c r="G73" s="167" t="str">
        <f t="shared" si="19"/>
        <v>Domestic Potential</v>
      </c>
      <c r="H73" s="167" t="str">
        <f>$B$80</f>
        <v>BIOPIGW</v>
      </c>
      <c r="I73" s="167" t="str">
        <f t="shared" si="12"/>
        <v>MIN</v>
      </c>
      <c r="J73" s="167" t="str">
        <f>$V$11</f>
        <v>_S3</v>
      </c>
      <c r="K73" s="167" t="s">
        <v>9</v>
      </c>
    </row>
    <row r="74" spans="2:11">
      <c r="B74" s="181" t="s">
        <v>61</v>
      </c>
      <c r="C74" s="167" t="s">
        <v>257</v>
      </c>
      <c r="E74" s="167" t="str">
        <f t="shared" si="17"/>
        <v>MINBIOINDF_S1</v>
      </c>
      <c r="F74" t="str">
        <f t="shared" si="18"/>
        <v>Domestic Potential of Industrial Food Waste  - Step 1</v>
      </c>
      <c r="G74" s="167" t="str">
        <f t="shared" si="19"/>
        <v>Domestic Potential</v>
      </c>
      <c r="H74" s="167" t="str">
        <f>$B$81</f>
        <v>BIOINDF</v>
      </c>
      <c r="I74" s="167" t="str">
        <f t="shared" si="12"/>
        <v>MIN</v>
      </c>
      <c r="J74" s="167" t="str">
        <f>$V$9</f>
        <v>_S1</v>
      </c>
      <c r="K74" s="167" t="s">
        <v>9</v>
      </c>
    </row>
    <row r="75" spans="2:11">
      <c r="B75" s="181" t="s">
        <v>139</v>
      </c>
      <c r="C75" s="167" t="s">
        <v>258</v>
      </c>
      <c r="E75" s="167" t="str">
        <f t="shared" si="17"/>
        <v>MINBIOINDF_S2</v>
      </c>
      <c r="F75" t="str">
        <f t="shared" si="18"/>
        <v>Domestic Potential of Industrial Food Waste  - Step 2</v>
      </c>
      <c r="G75" s="167" t="str">
        <f t="shared" si="19"/>
        <v>Domestic Potential</v>
      </c>
      <c r="H75" s="167" t="str">
        <f>$B$81</f>
        <v>BIOINDF</v>
      </c>
      <c r="I75" s="167" t="str">
        <f t="shared" si="12"/>
        <v>MIN</v>
      </c>
      <c r="J75" s="167" t="str">
        <f>$V$10</f>
        <v>_S2</v>
      </c>
      <c r="K75" s="167" t="s">
        <v>9</v>
      </c>
    </row>
    <row r="76" spans="2:11">
      <c r="B76" s="182" t="s">
        <v>140</v>
      </c>
      <c r="C76" s="167" t="s">
        <v>259</v>
      </c>
      <c r="E76" s="167" t="str">
        <f t="shared" si="17"/>
        <v>MINBIOINDF_S3</v>
      </c>
      <c r="F76" t="str">
        <f t="shared" si="18"/>
        <v>Domestic Potential of Industrial Food Waste  - Step 3</v>
      </c>
      <c r="G76" s="167" t="str">
        <f t="shared" si="19"/>
        <v>Domestic Potential</v>
      </c>
      <c r="H76" s="167" t="str">
        <f>$B$81</f>
        <v>BIOINDF</v>
      </c>
      <c r="I76" s="167" t="str">
        <f t="shared" si="12"/>
        <v>MIN</v>
      </c>
      <c r="J76" s="167" t="str">
        <f>$V$11</f>
        <v>_S3</v>
      </c>
      <c r="K76" s="167" t="s">
        <v>9</v>
      </c>
    </row>
    <row r="77" spans="2:11">
      <c r="B77" s="181" t="s">
        <v>136</v>
      </c>
      <c r="C77" s="167" t="s">
        <v>260</v>
      </c>
      <c r="E77" s="167" t="str">
        <f t="shared" ref="E77:E78" si="20">I77&amp;H77&amp;J77</f>
        <v>MINCYC</v>
      </c>
      <c r="F77" t="str">
        <f t="shared" si="18"/>
        <v>Domestic Potential of Cycling</v>
      </c>
      <c r="G77" s="167" t="str">
        <f t="shared" si="19"/>
        <v>Domestic Potential</v>
      </c>
      <c r="H77" s="167" t="str">
        <f>$B$83</f>
        <v>CYC</v>
      </c>
      <c r="I77" s="167" t="str">
        <f t="shared" si="12"/>
        <v>MIN</v>
      </c>
      <c r="J77" s="167"/>
      <c r="K77" s="167" t="s">
        <v>9</v>
      </c>
    </row>
    <row r="78" spans="2:11">
      <c r="B78" s="181" t="s">
        <v>135</v>
      </c>
      <c r="C78" s="167" t="s">
        <v>261</v>
      </c>
      <c r="E78" s="167" t="str">
        <f t="shared" si="20"/>
        <v>MINWLK</v>
      </c>
      <c r="F78" t="str">
        <f t="shared" si="18"/>
        <v>Domestic Potential of Walking</v>
      </c>
      <c r="G78" s="167" t="str">
        <f t="shared" si="19"/>
        <v>Domestic Potential</v>
      </c>
      <c r="H78" s="167" t="str">
        <f>$B$84</f>
        <v>WLK</v>
      </c>
      <c r="I78" s="167" t="str">
        <f t="shared" si="12"/>
        <v>MIN</v>
      </c>
      <c r="J78" s="167"/>
      <c r="K78" s="167" t="s">
        <v>9</v>
      </c>
    </row>
    <row r="79" spans="2:11">
      <c r="B79" s="181" t="s">
        <v>138</v>
      </c>
      <c r="C79" s="167" t="s">
        <v>262</v>
      </c>
      <c r="E79" s="167" t="str">
        <f t="shared" ref="E79:E80" si="21">I79&amp;H79&amp;J79</f>
        <v>IMPELC_UK-EWIC</v>
      </c>
      <c r="F79" t="str">
        <f t="shared" si="18"/>
        <v>Import of Electricity - UK East-West Interconnector</v>
      </c>
      <c r="G79" s="167" t="str">
        <f t="shared" si="19"/>
        <v>Import</v>
      </c>
      <c r="H79" s="167" t="str">
        <f>$B$35</f>
        <v>ELC</v>
      </c>
      <c r="I79" s="167" t="str">
        <f>$S$6</f>
        <v>IMP</v>
      </c>
      <c r="J79" s="167" t="str">
        <f>$V$6</f>
        <v>_UK-EWIC</v>
      </c>
      <c r="K79" s="167" t="s">
        <v>13</v>
      </c>
    </row>
    <row r="80" spans="2:11">
      <c r="B80" s="181" t="s">
        <v>137</v>
      </c>
      <c r="C80" s="167" t="s">
        <v>263</v>
      </c>
      <c r="E80" s="167" t="str">
        <f t="shared" si="21"/>
        <v>EXPELC_UK-EWIC</v>
      </c>
      <c r="F80" t="str">
        <f>G80 &amp; " of " &amp; VLOOKUP(H80,$B$5:$C$83,2,FALSE) &amp; IF(J80&lt;&gt;0,IF(VLOOKUP(J80,$V$5:$W$12,2,FALSE)&lt;&gt;""," - " &amp; VLOOKUP(J80,$V$5:$W$12,2,FALSE),""),"")</f>
        <v>Export of Electricity - UK East-West Interconnector</v>
      </c>
      <c r="G80" s="167" t="str">
        <f t="shared" si="19"/>
        <v>Export</v>
      </c>
      <c r="H80" s="167" t="str">
        <f>$B$35</f>
        <v>ELC</v>
      </c>
      <c r="I80" s="167" t="str">
        <f>$S$7</f>
        <v>EXP</v>
      </c>
      <c r="J80" s="167" t="str">
        <f>$V$6</f>
        <v>_UK-EWIC</v>
      </c>
      <c r="K80" s="167" t="s">
        <v>62</v>
      </c>
    </row>
    <row r="81" spans="2:11">
      <c r="B81" s="181" t="s">
        <v>141</v>
      </c>
      <c r="C81" s="167" t="s">
        <v>264</v>
      </c>
      <c r="E81" s="167" t="str">
        <f>LEFT(P5,1)&amp;I81&amp;H81&amp;J81</f>
        <v>SREFOILCRD_Whitegate</v>
      </c>
      <c r="F81" t="str">
        <f>G81 &amp; " of " &amp; VLOOKUP(H81,$B$5:$C$83,2,FALSE) &amp; IF(J81&lt;&gt;0,IF(VLOOKUP(J81,$V$5:$W$12,2,FALSE)&lt;&gt;""," - " &amp; VLOOKUP(J81,$V$5:$W$12,2,FALSE),""),"")</f>
        <v>Refinery of Crude Oil  - Whitegate</v>
      </c>
      <c r="G81" s="167" t="str">
        <f t="shared" si="19"/>
        <v>Refinery</v>
      </c>
      <c r="H81" t="str">
        <f>B43</f>
        <v>OILCRD</v>
      </c>
      <c r="I81" s="167" t="str">
        <f>$S$8</f>
        <v>REF</v>
      </c>
      <c r="J81" t="str">
        <f>V8</f>
        <v>_Whitegate</v>
      </c>
      <c r="K81" s="167" t="s">
        <v>151</v>
      </c>
    </row>
    <row r="82" spans="2:11">
      <c r="B82" s="181" t="s">
        <v>373</v>
      </c>
      <c r="C82" s="167" t="s">
        <v>374</v>
      </c>
      <c r="E82" s="167" t="str">
        <f>I82&amp;$P$5&amp;H82&amp;J82</f>
        <v>FT-SUPNGA</v>
      </c>
      <c r="F82" t="str">
        <f>G82 &amp; " - " &amp; VLOOKUP(H82,$B$5:$C$84,2,FALSE) &amp; IF(J82&lt;&gt;0,IF(VLOOKUP(J82,$V$5:$W$12,2,FALSE)&lt;&gt;""," - " &amp; VLOOKUP(J82,$V$5:$W$12,2,FALSE),""),"") &amp; " (" &amp; $P$5 &amp; ")"</f>
        <v>Fuel Tech - Natural Gas (SUP)</v>
      </c>
      <c r="G82" s="167" t="str">
        <f t="shared" si="19"/>
        <v>Fuel Tech</v>
      </c>
      <c r="H82" t="str">
        <f>B12</f>
        <v>NGA</v>
      </c>
      <c r="I82" s="167" t="str">
        <f>$S$9</f>
        <v>FT-</v>
      </c>
      <c r="K82" s="167" t="s">
        <v>151</v>
      </c>
    </row>
    <row r="83" spans="2:11">
      <c r="B83" s="182" t="s">
        <v>436</v>
      </c>
      <c r="C83" s="167" t="s">
        <v>438</v>
      </c>
      <c r="E83" s="167" t="str">
        <f>I83&amp;$P$5&amp;H83&amp;J83</f>
        <v>FT-SUPCOA</v>
      </c>
      <c r="F83" t="str">
        <f>G83 &amp; " - " &amp; VLOOKUP(H83,$B$5:$C$84,2,FALSE) &amp; IF(J83&lt;&gt;0,IF(VLOOKUP(J83,$V$5:$W$12,2,FALSE)&lt;&gt;""," - " &amp; VLOOKUP(J83,$V$5:$W$12,2,FALSE),""),"") &amp; " (" &amp; $P$5 &amp; ")"</f>
        <v>Fuel Tech - Coal (SUP)</v>
      </c>
      <c r="G83" s="167" t="str">
        <f t="shared" si="19"/>
        <v>Fuel Tech</v>
      </c>
      <c r="H83" t="str">
        <f>B5</f>
        <v>COA</v>
      </c>
      <c r="I83" s="167" t="str">
        <f>$S$9</f>
        <v>FT-</v>
      </c>
      <c r="K83" s="167" t="s">
        <v>151</v>
      </c>
    </row>
    <row r="84" spans="2:11">
      <c r="B84" s="181" t="s">
        <v>437</v>
      </c>
      <c r="C84" s="167" t="s">
        <v>439</v>
      </c>
      <c r="E84" s="167" t="str">
        <f>I84&amp;$P$5&amp;H84&amp;J84</f>
        <v>FT-SUPWAS</v>
      </c>
      <c r="F84" t="str">
        <f>G84 &amp; " - " &amp; VLOOKUP(H84,$B$5:$C$84,2,FALSE) &amp; IF(J84&lt;&gt;0,IF(VLOOKUP(J84,$V$5:$W$12,2,FALSE)&lt;&gt;""," - " &amp; VLOOKUP(J84,$V$5:$W$12,2,FALSE),""),"") &amp; " (" &amp; $P$5 &amp; ")"</f>
        <v>Fuel Tech - Waste (SUP)</v>
      </c>
      <c r="G84" s="167" t="str">
        <f t="shared" si="19"/>
        <v>Fuel Tech</v>
      </c>
      <c r="H84" t="str">
        <f>B37</f>
        <v>WAS</v>
      </c>
      <c r="I84" s="167" t="str">
        <f>$S$9</f>
        <v>FT-</v>
      </c>
      <c r="K84" s="167" t="s">
        <v>151</v>
      </c>
    </row>
    <row r="85" spans="2:11">
      <c r="E85" s="167" t="str">
        <f>I85&amp;$P$5&amp;H85&amp;J85</f>
        <v>FT-SUPBIO</v>
      </c>
      <c r="F85" t="str">
        <f>G85 &amp; " - " &amp; VLOOKUP(H85,$B$5:$C$84,2,FALSE) &amp; IF(J85&lt;&gt;0,IF(VLOOKUP(J85,$V$5:$W$12,2,FALSE)&lt;&gt;""," - " &amp; VLOOKUP(J85,$V$5:$W$12,2,FALSE),""),"") &amp; " (" &amp; $P$5 &amp; ")"</f>
        <v>Fuel Tech - Biomass (SUP)</v>
      </c>
      <c r="G85" s="167" t="str">
        <f t="shared" si="19"/>
        <v>Fuel Tech</v>
      </c>
      <c r="H85" t="str">
        <f>B13</f>
        <v>BIO</v>
      </c>
      <c r="I85" s="167" t="str">
        <f>$S$9</f>
        <v>FT-</v>
      </c>
      <c r="K85" s="167" t="s">
        <v>151</v>
      </c>
    </row>
    <row r="86" spans="2:11">
      <c r="E86" s="167" t="str">
        <f>I86&amp;$P$5&amp;H86&amp;J86</f>
        <v>FT-SUPELC</v>
      </c>
      <c r="F86" t="str">
        <f>G86 &amp; " - " &amp; VLOOKUP(H86,$B$5:$C$84,2,FALSE) &amp; IF(J86&lt;&gt;0,IF(VLOOKUP(J86,$V$5:$W$12,2,FALSE)&lt;&gt;""," - " &amp; VLOOKUP(J86,$V$5:$W$12,2,FALSE),""),"") &amp; " (" &amp; $P$5 &amp; ")"</f>
        <v>Fuel Tech - Electricity (SUP)</v>
      </c>
      <c r="G86" s="167" t="str">
        <f t="shared" si="19"/>
        <v>Fuel Tech</v>
      </c>
      <c r="H86" t="str">
        <f>B35</f>
        <v>ELC</v>
      </c>
      <c r="I86" s="167" t="str">
        <f>$S$9</f>
        <v>FT-</v>
      </c>
      <c r="K86" s="167" t="s">
        <v>151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78"/>
  <sheetViews>
    <sheetView topLeftCell="A11" zoomScale="83" zoomScaleNormal="100" workbookViewId="0">
      <selection activeCell="D38" sqref="D38"/>
    </sheetView>
  </sheetViews>
  <sheetFormatPr defaultColWidth="9.21875" defaultRowHeight="14.4"/>
  <cols>
    <col min="2" max="2" width="19" customWidth="1"/>
    <col min="3" max="3" width="18.21875" bestFit="1" customWidth="1"/>
    <col min="4" max="4" width="49.77734375" customWidth="1"/>
  </cols>
  <sheetData>
    <row r="2" spans="2:9">
      <c r="B2" s="169" t="s">
        <v>14</v>
      </c>
      <c r="C2" s="170"/>
      <c r="D2" s="170"/>
      <c r="E2" s="170"/>
      <c r="F2" s="170"/>
      <c r="G2" s="170"/>
      <c r="H2" s="170"/>
      <c r="I2" s="170"/>
    </row>
    <row r="3" spans="2:9" ht="15" thickBot="1">
      <c r="B3" s="166" t="s">
        <v>15</v>
      </c>
      <c r="C3" s="166" t="s">
        <v>16</v>
      </c>
      <c r="D3" s="166" t="s">
        <v>17</v>
      </c>
      <c r="E3" s="166" t="s">
        <v>18</v>
      </c>
      <c r="F3" s="166" t="s">
        <v>19</v>
      </c>
      <c r="G3" s="166" t="s">
        <v>20</v>
      </c>
      <c r="H3" s="166" t="s">
        <v>21</v>
      </c>
      <c r="I3" s="166" t="s">
        <v>22</v>
      </c>
    </row>
    <row r="4" spans="2:9" ht="28.5" customHeight="1">
      <c r="B4" s="171" t="s">
        <v>346</v>
      </c>
      <c r="C4" s="171" t="s">
        <v>347</v>
      </c>
      <c r="D4" s="172" t="s">
        <v>280</v>
      </c>
      <c r="E4" s="172"/>
      <c r="F4" s="172"/>
      <c r="G4" s="172"/>
      <c r="H4" s="172"/>
      <c r="I4" s="172"/>
    </row>
    <row r="5" spans="2:9" ht="28.5" customHeight="1">
      <c r="B5" s="177" t="s">
        <v>348</v>
      </c>
      <c r="C5" s="177"/>
      <c r="D5" s="178"/>
      <c r="E5" s="178"/>
      <c r="F5" s="178"/>
      <c r="G5" s="178"/>
      <c r="H5" s="178"/>
      <c r="I5" s="178"/>
    </row>
    <row r="6" spans="2:9">
      <c r="B6" s="174" t="s">
        <v>23</v>
      </c>
      <c r="C6" s="179" t="str">
        <f>CONVENTIONS!B38</f>
        <v>COABIT</v>
      </c>
      <c r="D6" s="179" t="str">
        <f>CONVENTIONS!C38</f>
        <v xml:space="preserve">Bituminous Coal </v>
      </c>
      <c r="E6" s="174" t="s">
        <v>10</v>
      </c>
      <c r="F6" s="174"/>
      <c r="G6" s="174"/>
      <c r="H6" s="174"/>
      <c r="I6" s="174"/>
    </row>
    <row r="7" spans="2:9">
      <c r="B7" s="174" t="s">
        <v>23</v>
      </c>
      <c r="C7" s="179" t="str">
        <f>CONVENTIONS!B39</f>
        <v>COAHAR</v>
      </c>
      <c r="D7" s="179" t="str">
        <f>CONVENTIONS!C39</f>
        <v xml:space="preserve">Hard Coal / Antracite </v>
      </c>
      <c r="E7" s="174" t="s">
        <v>10</v>
      </c>
      <c r="F7" s="174"/>
      <c r="G7" s="174"/>
      <c r="H7" s="174"/>
      <c r="I7" s="174"/>
    </row>
    <row r="8" spans="2:9">
      <c r="B8" s="174" t="s">
        <v>23</v>
      </c>
      <c r="C8" s="179" t="str">
        <f>CONVENTIONS!B40</f>
        <v>COACOK</v>
      </c>
      <c r="D8" s="179" t="str">
        <f>CONVENTIONS!C40</f>
        <v xml:space="preserve">Coke Coal </v>
      </c>
      <c r="E8" s="174" t="s">
        <v>10</v>
      </c>
      <c r="F8" s="174"/>
      <c r="G8" s="174"/>
      <c r="H8" s="174"/>
      <c r="I8" s="174"/>
    </row>
    <row r="9" spans="2:9">
      <c r="B9" s="174" t="s">
        <v>23</v>
      </c>
      <c r="C9" s="179" t="str">
        <f>CONVENTIONS!B41</f>
        <v>COALIG</v>
      </c>
      <c r="D9" s="179" t="str">
        <f>CONVENTIONS!C41</f>
        <v xml:space="preserve">Lignite /  Brown Coal </v>
      </c>
      <c r="E9" s="174" t="s">
        <v>10</v>
      </c>
      <c r="F9" s="174"/>
      <c r="G9" s="174"/>
      <c r="H9" s="174"/>
      <c r="I9" s="174"/>
    </row>
    <row r="10" spans="2:9">
      <c r="B10" s="174" t="s">
        <v>23</v>
      </c>
      <c r="C10" s="179" t="str">
        <f>CONVENTIONS!B42</f>
        <v>PEAT</v>
      </c>
      <c r="D10" s="179" t="str">
        <f>CONVENTIONS!C42</f>
        <v xml:space="preserve">Peat </v>
      </c>
      <c r="E10" s="174" t="s">
        <v>10</v>
      </c>
      <c r="F10" s="174"/>
      <c r="G10" s="174"/>
      <c r="H10" s="174"/>
      <c r="I10" s="174"/>
    </row>
    <row r="11" spans="2:9">
      <c r="B11" s="174" t="s">
        <v>23</v>
      </c>
      <c r="C11" s="179" t="str">
        <f>CONVENTIONS!B43</f>
        <v>OILCRD</v>
      </c>
      <c r="D11" s="179" t="str">
        <f>CONVENTIONS!C43</f>
        <v xml:space="preserve">Crude Oil </v>
      </c>
      <c r="E11" s="174" t="s">
        <v>10</v>
      </c>
      <c r="F11" s="174"/>
      <c r="G11" s="174"/>
      <c r="H11" s="174"/>
      <c r="I11" s="174"/>
    </row>
    <row r="12" spans="2:9">
      <c r="B12" s="174" t="s">
        <v>23</v>
      </c>
      <c r="C12" s="179" t="str">
        <f>CONVENTIONS!B44</f>
        <v>OILRFG</v>
      </c>
      <c r="D12" s="179" t="str">
        <f>CONVENTIONS!C44</f>
        <v xml:space="preserve">Refinery Gas </v>
      </c>
      <c r="E12" s="174" t="s">
        <v>10</v>
      </c>
      <c r="F12" s="174"/>
      <c r="G12" s="174"/>
      <c r="H12" s="174"/>
      <c r="I12" s="174"/>
    </row>
    <row r="13" spans="2:9">
      <c r="B13" s="174" t="s">
        <v>23</v>
      </c>
      <c r="C13" s="179" t="str">
        <f>CONVENTIONS!B45</f>
        <v>OILKER</v>
      </c>
      <c r="D13" s="179" t="str">
        <f>CONVENTIONS!C45</f>
        <v xml:space="preserve">Kerosene </v>
      </c>
      <c r="E13" s="174" t="s">
        <v>10</v>
      </c>
      <c r="F13" s="174"/>
      <c r="G13" s="174"/>
      <c r="H13" s="174"/>
      <c r="I13" s="174"/>
    </row>
    <row r="14" spans="2:9">
      <c r="B14" s="174" t="s">
        <v>23</v>
      </c>
      <c r="C14" s="179" t="str">
        <f>CONVENTIONS!B46</f>
        <v>OILHFO</v>
      </c>
      <c r="D14" s="179" t="str">
        <f>CONVENTIONS!C46</f>
        <v xml:space="preserve">Heavy Fuel Oil </v>
      </c>
      <c r="E14" s="174" t="s">
        <v>10</v>
      </c>
      <c r="F14" s="174"/>
      <c r="G14" s="174"/>
      <c r="H14" s="174"/>
      <c r="I14" s="174"/>
    </row>
    <row r="15" spans="2:9">
      <c r="B15" s="174" t="s">
        <v>23</v>
      </c>
      <c r="C15" s="179" t="str">
        <f>CONVENTIONS!B47</f>
        <v>OILDST</v>
      </c>
      <c r="D15" s="179" t="str">
        <f>CONVENTIONS!C47</f>
        <v xml:space="preserve">Diesel Oil </v>
      </c>
      <c r="E15" s="174" t="s">
        <v>10</v>
      </c>
      <c r="F15" s="174"/>
      <c r="G15" s="174"/>
      <c r="H15" s="174"/>
      <c r="I15" s="174"/>
    </row>
    <row r="16" spans="2:9">
      <c r="B16" s="174" t="s">
        <v>23</v>
      </c>
      <c r="C16" s="179" t="str">
        <f>CONVENTIONS!B48</f>
        <v>OILLPG</v>
      </c>
      <c r="D16" s="179" t="str">
        <f>CONVENTIONS!C48</f>
        <v xml:space="preserve">Liquified Petroleum Gas </v>
      </c>
      <c r="E16" s="174" t="s">
        <v>10</v>
      </c>
      <c r="F16" s="174"/>
      <c r="G16" s="174"/>
      <c r="H16" s="174"/>
      <c r="I16" s="174"/>
    </row>
    <row r="17" spans="2:9">
      <c r="B17" s="174" t="s">
        <v>23</v>
      </c>
      <c r="C17" s="179" t="str">
        <f>CONVENTIONS!B49</f>
        <v>OILGSL</v>
      </c>
      <c r="D17" s="179" t="str">
        <f>CONVENTIONS!C49</f>
        <v xml:space="preserve">Gasoline </v>
      </c>
      <c r="E17" s="174" t="s">
        <v>10</v>
      </c>
      <c r="F17" s="174"/>
      <c r="G17" s="174"/>
      <c r="H17" s="174"/>
      <c r="I17" s="174"/>
    </row>
    <row r="18" spans="2:9">
      <c r="B18" s="174" t="s">
        <v>23</v>
      </c>
      <c r="C18" s="179" t="str">
        <f>CONVENTIONS!B50</f>
        <v>OILCOK</v>
      </c>
      <c r="D18" s="179" t="str">
        <f>CONVENTIONS!C50</f>
        <v xml:space="preserve">Petroleum Coke </v>
      </c>
      <c r="E18" s="174" t="s">
        <v>10</v>
      </c>
      <c r="F18" s="174"/>
      <c r="G18" s="174"/>
      <c r="H18" s="174"/>
      <c r="I18" s="174"/>
    </row>
    <row r="19" spans="2:9">
      <c r="B19" s="174" t="s">
        <v>23</v>
      </c>
      <c r="C19" s="179" t="str">
        <f>CONVENTIONS!B51</f>
        <v>OILNAP</v>
      </c>
      <c r="D19" s="179" t="str">
        <f>CONVENTIONS!C51</f>
        <v xml:space="preserve">Naphta </v>
      </c>
      <c r="E19" s="174" t="s">
        <v>10</v>
      </c>
      <c r="F19" s="174"/>
      <c r="G19" s="174"/>
      <c r="H19" s="174"/>
      <c r="I19" s="174"/>
    </row>
    <row r="20" spans="2:9">
      <c r="B20" s="174" t="s">
        <v>23</v>
      </c>
      <c r="C20" s="179" t="str">
        <f>CONVENTIONS!B52</f>
        <v>OILNEU</v>
      </c>
      <c r="D20" s="179" t="str">
        <f>CONVENTIONS!C52</f>
        <v>Oil for Non-Energy uses</v>
      </c>
      <c r="E20" s="174" t="s">
        <v>10</v>
      </c>
      <c r="F20" s="174"/>
      <c r="G20" s="174"/>
      <c r="H20" s="174"/>
      <c r="I20" s="174"/>
    </row>
    <row r="21" spans="2:9">
      <c r="B21" s="174" t="s">
        <v>23</v>
      </c>
      <c r="C21" s="179" t="str">
        <f>CONVENTIONS!B53</f>
        <v>GASNAT</v>
      </c>
      <c r="D21" s="179" t="str">
        <f>CONVENTIONS!C53</f>
        <v xml:space="preserve">Natural Gas </v>
      </c>
      <c r="E21" s="174" t="s">
        <v>10</v>
      </c>
      <c r="F21" s="174"/>
      <c r="G21" s="174" t="s">
        <v>68</v>
      </c>
      <c r="H21" s="174"/>
      <c r="I21" s="174"/>
    </row>
    <row r="22" spans="2:9">
      <c r="B22" s="174" t="s">
        <v>23</v>
      </c>
      <c r="C22" s="179" t="str">
        <f>CONVENTIONS!B54</f>
        <v>GASLNG</v>
      </c>
      <c r="D22" s="179" t="str">
        <f>CONVENTIONS!C54</f>
        <v xml:space="preserve">Liquified Natural Gas </v>
      </c>
      <c r="E22" s="174" t="s">
        <v>10</v>
      </c>
      <c r="F22" s="174"/>
      <c r="G22" s="174" t="s">
        <v>68</v>
      </c>
      <c r="H22" s="174"/>
      <c r="I22" s="174"/>
    </row>
    <row r="23" spans="2:9">
      <c r="B23" s="174" t="s">
        <v>23</v>
      </c>
      <c r="C23" s="179" t="str">
        <f>CONVENTIONS!B55</f>
        <v>NUCURM</v>
      </c>
      <c r="D23" s="179" t="str">
        <f>CONVENTIONS!C55</f>
        <v>Uranium</v>
      </c>
      <c r="E23" s="174" t="s">
        <v>10</v>
      </c>
      <c r="F23" s="174"/>
      <c r="G23" s="174"/>
      <c r="H23" s="174"/>
      <c r="I23" s="174"/>
    </row>
    <row r="24" spans="2:9">
      <c r="B24" s="174" t="s">
        <v>23</v>
      </c>
      <c r="C24" s="179" t="str">
        <f>CONVENTIONS!B56</f>
        <v>RENHYD</v>
      </c>
      <c r="D24" s="179" t="str">
        <f>CONVENTIONS!C56</f>
        <v xml:space="preserve">Hydro </v>
      </c>
      <c r="E24" s="174" t="s">
        <v>10</v>
      </c>
      <c r="F24" s="174"/>
      <c r="G24" s="174"/>
      <c r="H24" s="174"/>
      <c r="I24" s="174"/>
    </row>
    <row r="25" spans="2:9">
      <c r="B25" s="174" t="s">
        <v>23</v>
      </c>
      <c r="C25" s="179" t="str">
        <f>CONVENTIONS!B57</f>
        <v>RENWIN</v>
      </c>
      <c r="D25" s="179" t="str">
        <f>CONVENTIONS!C57</f>
        <v xml:space="preserve">Wind </v>
      </c>
      <c r="E25" s="174" t="s">
        <v>10</v>
      </c>
      <c r="F25" s="174"/>
      <c r="G25" s="174"/>
      <c r="H25" s="174"/>
      <c r="I25" s="174"/>
    </row>
    <row r="26" spans="2:9">
      <c r="B26" s="174" t="s">
        <v>23</v>
      </c>
      <c r="C26" s="179" t="str">
        <f>CONVENTIONS!B58</f>
        <v>RENSOL</v>
      </c>
      <c r="D26" s="179" t="str">
        <f>CONVENTIONS!C58</f>
        <v xml:space="preserve">Solar </v>
      </c>
      <c r="E26" s="174" t="s">
        <v>10</v>
      </c>
      <c r="F26" s="174"/>
      <c r="G26" s="174"/>
      <c r="H26" s="174"/>
      <c r="I26" s="174"/>
    </row>
    <row r="27" spans="2:9">
      <c r="B27" s="174" t="s">
        <v>23</v>
      </c>
      <c r="C27" s="179" t="str">
        <f>CONVENTIONS!B59</f>
        <v>MSWAS</v>
      </c>
      <c r="D27" s="179" t="str">
        <f>CONVENTIONS!C59</f>
        <v xml:space="preserve">Municipal Solid Waste </v>
      </c>
      <c r="E27" s="174" t="s">
        <v>10</v>
      </c>
      <c r="F27" s="174"/>
      <c r="G27" s="174"/>
      <c r="H27" s="174"/>
      <c r="I27" s="174"/>
    </row>
    <row r="28" spans="2:9">
      <c r="B28" s="174" t="s">
        <v>23</v>
      </c>
      <c r="C28" s="179" t="str">
        <f>CONVENTIONS!B60</f>
        <v>RENOCE</v>
      </c>
      <c r="D28" s="179" t="str">
        <f>CONVENTIONS!C60</f>
        <v xml:space="preserve">Ocean </v>
      </c>
      <c r="E28" s="174" t="s">
        <v>10</v>
      </c>
      <c r="F28" s="174"/>
      <c r="G28" s="174"/>
      <c r="H28" s="174"/>
      <c r="I28" s="174"/>
    </row>
    <row r="29" spans="2:9">
      <c r="B29" s="174" t="s">
        <v>23</v>
      </c>
      <c r="C29" s="179" t="str">
        <f>CONVENTIONS!B61</f>
        <v>RENAHT</v>
      </c>
      <c r="D29" s="179" t="str">
        <f>CONVENTIONS!C61</f>
        <v>Ambient Heat</v>
      </c>
      <c r="E29" s="174" t="s">
        <v>10</v>
      </c>
      <c r="F29" s="174"/>
      <c r="G29" s="174"/>
      <c r="H29" s="174"/>
      <c r="I29" s="174"/>
    </row>
    <row r="30" spans="2:9">
      <c r="B30" s="174" t="s">
        <v>23</v>
      </c>
      <c r="C30" s="179" t="str">
        <f>CONVENTIONS!B62</f>
        <v>BIOETH1G</v>
      </c>
      <c r="D30" s="179" t="str">
        <f>CONVENTIONS!C62</f>
        <v xml:space="preserve">Ethanol 1st generation </v>
      </c>
      <c r="E30" s="174" t="s">
        <v>10</v>
      </c>
      <c r="F30" s="174"/>
      <c r="G30" s="174"/>
      <c r="H30" s="174"/>
      <c r="I30" s="174"/>
    </row>
    <row r="31" spans="2:9">
      <c r="B31" s="174" t="s">
        <v>23</v>
      </c>
      <c r="C31" s="179" t="str">
        <f>CONVENTIONS!B63</f>
        <v>BIOETH2G</v>
      </c>
      <c r="D31" s="179" t="str">
        <f>CONVENTIONS!C63</f>
        <v xml:space="preserve">Ethanol 2nd generation </v>
      </c>
      <c r="E31" s="174" t="s">
        <v>10</v>
      </c>
      <c r="F31" s="174"/>
      <c r="G31" s="174"/>
      <c r="H31" s="174"/>
      <c r="I31" s="174"/>
    </row>
    <row r="32" spans="2:9">
      <c r="B32" s="174" t="s">
        <v>23</v>
      </c>
      <c r="C32" s="179" t="str">
        <f>CONVENTIONS!B64</f>
        <v>BIODST1G</v>
      </c>
      <c r="D32" s="179" t="str">
        <f>CONVENTIONS!C64</f>
        <v xml:space="preserve">Biodiesel 1st generation </v>
      </c>
      <c r="E32" s="174" t="s">
        <v>10</v>
      </c>
      <c r="F32" s="174"/>
      <c r="G32" s="174"/>
      <c r="H32" s="174"/>
      <c r="I32" s="174"/>
    </row>
    <row r="33" spans="2:9">
      <c r="B33" s="174" t="s">
        <v>23</v>
      </c>
      <c r="C33" s="179" t="str">
        <f>CONVENTIONS!B65</f>
        <v>BIODST2G</v>
      </c>
      <c r="D33" s="179" t="str">
        <f>CONVENTIONS!C65</f>
        <v xml:space="preserve">Biodiesel 2nd generation </v>
      </c>
      <c r="E33" s="174" t="s">
        <v>10</v>
      </c>
      <c r="F33" s="174"/>
      <c r="G33" s="174"/>
      <c r="H33" s="174"/>
      <c r="I33" s="174"/>
    </row>
    <row r="34" spans="2:9">
      <c r="B34" s="174" t="s">
        <v>23</v>
      </c>
      <c r="C34" s="179" t="str">
        <f>CONVENTIONS!B66</f>
        <v>BIOGAS1G</v>
      </c>
      <c r="D34" s="179" t="str">
        <f>CONVENTIONS!C66</f>
        <v xml:space="preserve">Biogas 1st generation </v>
      </c>
      <c r="E34" s="174" t="s">
        <v>10</v>
      </c>
      <c r="F34" s="174"/>
      <c r="G34" s="174"/>
      <c r="H34" s="174"/>
      <c r="I34" s="174"/>
    </row>
    <row r="35" spans="2:9">
      <c r="B35" s="174" t="s">
        <v>23</v>
      </c>
      <c r="C35" s="179" t="str">
        <f>CONVENTIONS!B67</f>
        <v>BIOGAS2G</v>
      </c>
      <c r="D35" s="179" t="str">
        <f>CONVENTIONS!C67</f>
        <v xml:space="preserve">Biogas 2nd generation </v>
      </c>
      <c r="E35" s="174" t="s">
        <v>10</v>
      </c>
      <c r="F35" s="174"/>
      <c r="G35" s="174"/>
      <c r="H35" s="174"/>
      <c r="I35" s="174"/>
    </row>
    <row r="36" spans="2:9">
      <c r="B36" s="34" t="s">
        <v>23</v>
      </c>
      <c r="C36" s="462" t="str">
        <f>CONVENTIONS!B68</f>
        <v>BIOJKR</v>
      </c>
      <c r="D36" s="462" t="s">
        <v>440</v>
      </c>
      <c r="E36" s="34" t="s">
        <v>10</v>
      </c>
      <c r="F36" s="174"/>
      <c r="G36" s="174"/>
      <c r="H36" s="174"/>
      <c r="I36" s="174"/>
    </row>
    <row r="37" spans="2:9">
      <c r="B37" s="464" t="s">
        <v>23</v>
      </c>
      <c r="C37" s="464" t="s">
        <v>664</v>
      </c>
      <c r="D37" s="464" t="s">
        <v>666</v>
      </c>
      <c r="E37" s="466" t="s">
        <v>10</v>
      </c>
      <c r="F37" s="174"/>
      <c r="G37" s="174"/>
      <c r="H37" s="174"/>
      <c r="I37" s="174"/>
    </row>
    <row r="38" spans="2:9">
      <c r="B38" s="174" t="s">
        <v>23</v>
      </c>
      <c r="C38" s="179" t="str">
        <f>CONVENTIONS!B69</f>
        <v>BIOWOO</v>
      </c>
      <c r="D38" s="179" t="str">
        <f>CONVENTIONS!C69</f>
        <v xml:space="preserve">Biomass - generic </v>
      </c>
      <c r="E38" s="174" t="s">
        <v>10</v>
      </c>
      <c r="F38" s="174"/>
      <c r="G38" s="174"/>
      <c r="H38" s="174"/>
      <c r="I38" s="174"/>
    </row>
    <row r="39" spans="2:9">
      <c r="B39" s="174" t="s">
        <v>23</v>
      </c>
      <c r="C39" s="179" t="str">
        <f>CONVENTIONS!B70</f>
        <v>BIOWOO1</v>
      </c>
      <c r="D39" s="179" t="str">
        <f>CONVENTIONS!C70</f>
        <v>Sawmill residues</v>
      </c>
      <c r="E39" s="174" t="s">
        <v>10</v>
      </c>
      <c r="F39" s="174"/>
      <c r="G39" s="174"/>
      <c r="H39" s="174"/>
      <c r="I39" s="174"/>
    </row>
    <row r="40" spans="2:9">
      <c r="B40" s="174" t="s">
        <v>23</v>
      </c>
      <c r="C40" s="179" t="str">
        <f>CONVENTIONS!B71</f>
        <v>BIOWOO2</v>
      </c>
      <c r="D40" s="179" t="str">
        <f>CONVENTIONS!C71</f>
        <v>Post-Consumer Recycled Wood</v>
      </c>
      <c r="E40" s="174" t="s">
        <v>10</v>
      </c>
      <c r="F40" s="174"/>
      <c r="G40" s="174"/>
      <c r="H40" s="174"/>
      <c r="I40" s="174"/>
    </row>
    <row r="41" spans="2:9">
      <c r="B41" s="174" t="s">
        <v>23</v>
      </c>
      <c r="C41" s="179" t="str">
        <f>CONVENTIONS!B72</f>
        <v>BIOWOO3</v>
      </c>
      <c r="D41" s="179" t="str">
        <f>CONVENTIONS!C72</f>
        <v>Straw</v>
      </c>
      <c r="E41" s="174" t="s">
        <v>10</v>
      </c>
      <c r="F41" s="174"/>
      <c r="G41" s="174"/>
      <c r="H41" s="174"/>
      <c r="I41" s="174"/>
    </row>
    <row r="42" spans="2:9">
      <c r="B42" s="174" t="s">
        <v>23</v>
      </c>
      <c r="C42" s="179" t="str">
        <f>CONVENTIONS!B73</f>
        <v>BIOWPE</v>
      </c>
      <c r="D42" s="179" t="str">
        <f>CONVENTIONS!C73</f>
        <v xml:space="preserve">Wood Pellets </v>
      </c>
      <c r="E42" s="174" t="s">
        <v>10</v>
      </c>
      <c r="F42" s="174"/>
      <c r="G42" s="174"/>
      <c r="H42" s="174"/>
      <c r="I42" s="174"/>
    </row>
    <row r="43" spans="2:9">
      <c r="B43" s="174" t="s">
        <v>23</v>
      </c>
      <c r="C43" s="179" t="str">
        <f>CONVENTIONS!B74</f>
        <v>BIOWCH</v>
      </c>
      <c r="D43" s="179" t="str">
        <f>CONVENTIONS!C74</f>
        <v xml:space="preserve">Wood Chip </v>
      </c>
      <c r="E43" s="174" t="s">
        <v>10</v>
      </c>
      <c r="F43" s="174"/>
      <c r="G43" s="174"/>
      <c r="H43" s="174"/>
      <c r="I43" s="174"/>
    </row>
    <row r="44" spans="2:9">
      <c r="B44" s="174" t="s">
        <v>23</v>
      </c>
      <c r="C44" s="179" t="str">
        <f>CONVENTIONS!B75</f>
        <v>BIOMSW1</v>
      </c>
      <c r="D44" s="179" t="str">
        <f>CONVENTIONS!C75</f>
        <v xml:space="preserve">Biodegradable Municipal Solid Waste potential - Solid </v>
      </c>
      <c r="E44" s="174" t="s">
        <v>10</v>
      </c>
      <c r="F44" s="174"/>
      <c r="G44" s="174"/>
      <c r="H44" s="174"/>
      <c r="I44" s="174"/>
    </row>
    <row r="45" spans="2:9">
      <c r="B45" s="174" t="s">
        <v>23</v>
      </c>
      <c r="C45" s="179" t="str">
        <f>CONVENTIONS!B76</f>
        <v>BIOMSW2</v>
      </c>
      <c r="D45" s="179" t="str">
        <f>CONVENTIONS!C76</f>
        <v xml:space="preserve">Biodegradable Municipal Solid Waste </v>
      </c>
      <c r="E45" s="174" t="s">
        <v>10</v>
      </c>
      <c r="F45" s="174"/>
      <c r="G45" s="174"/>
      <c r="H45" s="174"/>
      <c r="I45" s="174"/>
    </row>
    <row r="46" spans="2:9">
      <c r="B46" s="174" t="s">
        <v>23</v>
      </c>
      <c r="C46" s="179" t="str">
        <f>CONVENTIONS!B77</f>
        <v>BIOTLW</v>
      </c>
      <c r="D46" s="179" t="str">
        <f>CONVENTIONS!C77</f>
        <v xml:space="preserve">Tallow </v>
      </c>
      <c r="E46" s="174" t="s">
        <v>10</v>
      </c>
      <c r="F46" s="174"/>
      <c r="G46" s="174"/>
      <c r="H46" s="174"/>
      <c r="I46" s="174"/>
    </row>
    <row r="47" spans="2:9">
      <c r="B47" s="174" t="s">
        <v>23</v>
      </c>
      <c r="C47" s="179" t="str">
        <f>CONVENTIONS!B78</f>
        <v>BIORVO</v>
      </c>
      <c r="D47" s="179" t="str">
        <f>CONVENTIONS!C78</f>
        <v xml:space="preserve">Recovered Vegetable Oil </v>
      </c>
      <c r="E47" s="174" t="s">
        <v>10</v>
      </c>
      <c r="F47" s="174"/>
      <c r="G47" s="174"/>
      <c r="H47" s="174"/>
      <c r="I47" s="174"/>
    </row>
    <row r="48" spans="2:9">
      <c r="B48" s="174" t="s">
        <v>23</v>
      </c>
      <c r="C48" s="179" t="str">
        <f>CONVENTIONS!B79</f>
        <v>BIOCATW</v>
      </c>
      <c r="D48" s="179" t="str">
        <f>CONVENTIONS!C79</f>
        <v xml:space="preserve">Cattle Waste </v>
      </c>
      <c r="E48" s="174" t="s">
        <v>10</v>
      </c>
      <c r="F48" s="174"/>
      <c r="G48" s="174"/>
      <c r="H48" s="174"/>
      <c r="I48" s="174"/>
    </row>
    <row r="49" spans="2:9">
      <c r="B49" s="174" t="s">
        <v>23</v>
      </c>
      <c r="C49" s="179" t="str">
        <f>CONVENTIONS!B80</f>
        <v>BIOPIGW</v>
      </c>
      <c r="D49" s="179" t="str">
        <f>CONVENTIONS!C80</f>
        <v xml:space="preserve">Pig Waste </v>
      </c>
      <c r="E49" s="174" t="s">
        <v>10</v>
      </c>
      <c r="F49" s="174"/>
      <c r="G49" s="174"/>
      <c r="H49" s="174"/>
      <c r="I49" s="174"/>
    </row>
    <row r="50" spans="2:9">
      <c r="B50" s="174" t="s">
        <v>23</v>
      </c>
      <c r="C50" s="179" t="str">
        <f>CONVENTIONS!B81</f>
        <v>BIOINDF</v>
      </c>
      <c r="D50" s="179" t="str">
        <f>CONVENTIONS!C81</f>
        <v xml:space="preserve">Industrial Food Waste </v>
      </c>
      <c r="E50" s="174" t="s">
        <v>10</v>
      </c>
      <c r="F50" s="174"/>
      <c r="G50" s="174"/>
      <c r="H50" s="174"/>
      <c r="I50" s="174"/>
    </row>
    <row r="51" spans="2:9">
      <c r="B51" s="174" t="s">
        <v>23</v>
      </c>
      <c r="C51" s="179" t="str">
        <f>CONVENTIONS!B83</f>
        <v>CYC</v>
      </c>
      <c r="D51" s="179" t="str">
        <f>CONVENTIONS!C83</f>
        <v>Cycling</v>
      </c>
      <c r="E51" s="174" t="s">
        <v>10</v>
      </c>
      <c r="F51" s="174"/>
      <c r="G51" s="174"/>
      <c r="H51" s="174"/>
      <c r="I51" s="174"/>
    </row>
    <row r="52" spans="2:9">
      <c r="B52" s="174" t="s">
        <v>23</v>
      </c>
      <c r="C52" s="179" t="str">
        <f>CONVENTIONS!B84</f>
        <v>WLK</v>
      </c>
      <c r="D52" s="179" t="str">
        <f>CONVENTIONS!C84</f>
        <v>Walking</v>
      </c>
      <c r="E52" s="174" t="s">
        <v>10</v>
      </c>
      <c r="F52" s="174"/>
      <c r="G52" s="174"/>
      <c r="H52" s="174"/>
      <c r="I52" s="174"/>
    </row>
    <row r="53" spans="2:9">
      <c r="B53" s="174" t="s">
        <v>23</v>
      </c>
      <c r="C53" s="179" t="str">
        <f>CONVENTIONS!$P$5&amp;CONVENTIONS!B5</f>
        <v>SUPCOA</v>
      </c>
      <c r="D53" s="179" t="str">
        <f>CONVENTIONS!C5 &amp; " (" &amp; CONVENTIONS!$P$5 &amp; ")"</f>
        <v>Coal (SUP)</v>
      </c>
      <c r="E53" s="174" t="s">
        <v>10</v>
      </c>
      <c r="F53" s="174"/>
      <c r="G53" s="174"/>
      <c r="H53" s="174"/>
      <c r="I53" s="174"/>
    </row>
    <row r="54" spans="2:9">
      <c r="B54" s="174" t="s">
        <v>23</v>
      </c>
      <c r="C54" s="179" t="str">
        <f>CONVENTIONS!$P$5&amp;CONVENTIONS!B12</f>
        <v>SUPNGA</v>
      </c>
      <c r="D54" s="179" t="str">
        <f>CONVENTIONS!C12 &amp; " (" &amp; CONVENTIONS!$P$5 &amp; ")"</f>
        <v>Natural Gas (SUP)</v>
      </c>
      <c r="E54" s="174" t="s">
        <v>10</v>
      </c>
      <c r="F54" s="174"/>
      <c r="G54" s="174"/>
      <c r="H54" s="174"/>
      <c r="I54" s="174"/>
    </row>
    <row r="55" spans="2:9">
      <c r="B55" s="174" t="s">
        <v>23</v>
      </c>
      <c r="C55" s="179" t="str">
        <f>CONVENTIONS!$P$5&amp;CONVENTIONS!B13</f>
        <v>SUPBIO</v>
      </c>
      <c r="D55" s="179" t="str">
        <f>CONVENTIONS!C13 &amp; " (" &amp; CONVENTIONS!$P$5 &amp; ")"</f>
        <v>Biomass (SUP)</v>
      </c>
      <c r="E55" s="174" t="s">
        <v>10</v>
      </c>
      <c r="F55" s="174"/>
      <c r="G55" s="174"/>
      <c r="H55" s="174"/>
      <c r="I55" s="174"/>
    </row>
    <row r="56" spans="2:9">
      <c r="B56" s="174" t="s">
        <v>23</v>
      </c>
      <c r="C56" s="179" t="str">
        <f>CONVENTIONS!$P$5&amp;CONVENTIONS!B35</f>
        <v>SUPELC</v>
      </c>
      <c r="D56" s="179" t="str">
        <f>CONVENTIONS!C35 &amp; " (" &amp; CONVENTIONS!$P$5 &amp; ")"</f>
        <v>Electricity (SUP)</v>
      </c>
      <c r="E56" s="174" t="s">
        <v>10</v>
      </c>
      <c r="F56" s="174"/>
      <c r="G56" s="174" t="s">
        <v>63</v>
      </c>
      <c r="H56" s="174"/>
      <c r="I56" s="174"/>
    </row>
    <row r="57" spans="2:9">
      <c r="B57" s="174" t="s">
        <v>23</v>
      </c>
      <c r="C57" s="179" t="str">
        <f>CONVENTIONS!$P$5&amp;CONVENTIONS!B37</f>
        <v>SUPWAS</v>
      </c>
      <c r="D57" s="179" t="str">
        <f>CONVENTIONS!C37 &amp; " (" &amp; CONVENTIONS!$P$5 &amp; ")"</f>
        <v>Waste (SUP)</v>
      </c>
      <c r="E57" s="174" t="s">
        <v>10</v>
      </c>
      <c r="F57" s="174"/>
      <c r="G57" s="174"/>
      <c r="H57" s="174"/>
      <c r="I57" s="174"/>
    </row>
    <row r="58" spans="2:9">
      <c r="B58" s="174" t="s">
        <v>23</v>
      </c>
      <c r="C58" s="179" t="str">
        <f>CONVENTIONS!$B$35&amp;CONVENTIONS!AB5</f>
        <v>ELCC</v>
      </c>
      <c r="D58" s="179" t="str">
        <f>CONVENTIONS!$C$35 &amp;  " - " &amp; CONVENTIONS!AC5</f>
        <v>Electricity - centralised</v>
      </c>
      <c r="E58" s="174" t="s">
        <v>10</v>
      </c>
      <c r="F58" s="174"/>
      <c r="G58" s="174" t="s">
        <v>63</v>
      </c>
      <c r="H58" s="174"/>
      <c r="I58" s="174" t="s">
        <v>281</v>
      </c>
    </row>
    <row r="59" spans="2:9">
      <c r="B59" s="174" t="s">
        <v>23</v>
      </c>
      <c r="C59" s="179" t="str">
        <f>CONVENTIONS!$B$35&amp;CONVENTIONS!AB6</f>
        <v>ELCD</v>
      </c>
      <c r="D59" s="179" t="str">
        <f>CONVENTIONS!$C$35 &amp;  " - " &amp; CONVENTIONS!AC6</f>
        <v>Electricity - decentralised</v>
      </c>
      <c r="E59" s="174" t="s">
        <v>10</v>
      </c>
      <c r="F59" s="174"/>
      <c r="G59" s="174" t="s">
        <v>63</v>
      </c>
      <c r="H59" s="174"/>
      <c r="I59" s="174"/>
    </row>
    <row r="60" spans="2:9">
      <c r="B60" s="174" t="s">
        <v>23</v>
      </c>
      <c r="C60" s="179" t="str">
        <f>CONVENTIONS!$P$5&amp;CONVENTIONS!$B$82&amp;CONVENTIONS!Y5&amp;CONVENTIONS!AB5</f>
        <v>SUPH2GC</v>
      </c>
      <c r="D60" s="179" t="str">
        <f>CONVENTIONS!$C$82 &amp; " " &amp; CONVENTIONS!Z5 &amp; " - " &amp; CONVENTIONS!AC5&amp; " (" &amp; CONVENTIONS!$P$5 &amp; ")"</f>
        <v>Hydrogen gaseous - centralised (SUP)</v>
      </c>
      <c r="E60" s="174" t="s">
        <v>10</v>
      </c>
      <c r="F60" s="174"/>
      <c r="G60" s="174" t="s">
        <v>68</v>
      </c>
      <c r="H60" s="174"/>
      <c r="I60" s="174"/>
    </row>
    <row r="61" spans="2:9">
      <c r="B61" s="174" t="s">
        <v>23</v>
      </c>
      <c r="C61" s="179" t="str">
        <f>CONVENTIONS!$P$5&amp;CONVENTIONS!$B$82&amp;CONVENTIONS!Y6&amp;CONVENTIONS!AB5</f>
        <v>SUPH2LC</v>
      </c>
      <c r="D61" s="179" t="str">
        <f>CONVENTIONS!$C$82 &amp; " " &amp; CONVENTIONS!Z6 &amp; " - " &amp; CONVENTIONS!AC5&amp; " (" &amp; CONVENTIONS!$P$5 &amp; ")"</f>
        <v>Hydrogen liquid - centralised (SUP)</v>
      </c>
      <c r="E61" s="174" t="s">
        <v>10</v>
      </c>
      <c r="F61" s="174"/>
      <c r="G61" s="174" t="s">
        <v>68</v>
      </c>
      <c r="H61" s="174"/>
      <c r="I61" s="174"/>
    </row>
    <row r="62" spans="2:9">
      <c r="B62" s="174" t="s">
        <v>23</v>
      </c>
      <c r="C62" s="179" t="str">
        <f>CONVENTIONS!$P$5&amp;CONVENTIONS!$B$82&amp;CONVENTIONS!Y5&amp;CONVENTIONS!AB6</f>
        <v>SUPH2GD</v>
      </c>
      <c r="D62" s="179" t="str">
        <f>CONVENTIONS!$C$82 &amp; " " &amp; CONVENTIONS!Z5 &amp; " - " &amp; CONVENTIONS!AC6 &amp; " (" &amp; CONVENTIONS!$P$5 &amp; ")"</f>
        <v>Hydrogen gaseous - decentralised (SUP)</v>
      </c>
      <c r="E62" s="174" t="s">
        <v>10</v>
      </c>
      <c r="F62" s="174"/>
      <c r="G62" s="174" t="s">
        <v>68</v>
      </c>
      <c r="H62" s="174"/>
      <c r="I62" s="174"/>
    </row>
    <row r="63" spans="2:9">
      <c r="B63" s="174" t="s">
        <v>23</v>
      </c>
      <c r="C63" s="179" t="str">
        <f>CONVENTIONS!$P$5&amp;CONVENTIONS!$B$82&amp;CONVENTIONS!Y6&amp;CONVENTIONS!AB6</f>
        <v>SUPH2LD</v>
      </c>
      <c r="D63" s="179" t="str">
        <f>CONVENTIONS!$C$82 &amp; " " &amp; CONVENTIONS!Z6 &amp; " - " &amp; CONVENTIONS!AC6 &amp; " (" &amp; CONVENTIONS!$P$5 &amp; ")"</f>
        <v>Hydrogen liquid - decentralised (SUP)</v>
      </c>
      <c r="E63" s="174" t="s">
        <v>10</v>
      </c>
      <c r="F63" s="174"/>
      <c r="G63" s="174" t="s">
        <v>68</v>
      </c>
      <c r="H63" s="174"/>
      <c r="I63" s="174"/>
    </row>
    <row r="64" spans="2:9">
      <c r="B64" s="185" t="s">
        <v>349</v>
      </c>
      <c r="C64" s="185"/>
      <c r="D64" s="185"/>
      <c r="E64" s="185"/>
      <c r="F64" s="185"/>
      <c r="G64" s="185"/>
      <c r="H64" s="185"/>
      <c r="I64" s="185"/>
    </row>
    <row r="65" spans="2:9">
      <c r="B65" s="174" t="s">
        <v>270</v>
      </c>
      <c r="C65" s="179" t="str">
        <f>CONVENTIONS!$P$5&amp;CONVENTIONS!M5</f>
        <v>SUPCH4N</v>
      </c>
      <c r="D65" s="179" t="str">
        <f>CONVENTIONS!N5 &amp; " (" &amp; CONVENTIONS!$P$5 &amp; ")"</f>
        <v>Methane - eNergy Emissions (SUP)</v>
      </c>
      <c r="E65" s="174" t="s">
        <v>271</v>
      </c>
      <c r="F65" s="174"/>
      <c r="G65" s="174"/>
      <c r="H65" s="174"/>
      <c r="I65" s="174"/>
    </row>
    <row r="66" spans="2:9">
      <c r="B66" s="174" t="s">
        <v>270</v>
      </c>
      <c r="C66" s="179" t="str">
        <f>CONVENTIONS!$P$5&amp;CONVENTIONS!M6</f>
        <v>SUPCH4P</v>
      </c>
      <c r="D66" s="179" t="str">
        <f>CONVENTIONS!N6 &amp; " (" &amp; CONVENTIONS!$P$5 &amp; ")"</f>
        <v>Methane Emissions - Process Emissions (SUP)</v>
      </c>
      <c r="E66" s="174" t="s">
        <v>271</v>
      </c>
      <c r="F66" s="174"/>
      <c r="G66" s="174"/>
      <c r="H66" s="174"/>
      <c r="I66" s="174"/>
    </row>
    <row r="67" spans="2:9">
      <c r="B67" s="174" t="s">
        <v>270</v>
      </c>
      <c r="C67" s="179" t="str">
        <f>CONVENTIONS!$P$5&amp;CONVENTIONS!M7</f>
        <v>SUPN2ON</v>
      </c>
      <c r="D67" s="179" t="str">
        <f>CONVENTIONS!N7 &amp; " (" &amp; CONVENTIONS!$P$5 &amp; ")"</f>
        <v>N2O Emissions - eNergy Emissions (SUP)</v>
      </c>
      <c r="E67" s="174" t="s">
        <v>271</v>
      </c>
      <c r="F67" s="174"/>
      <c r="G67" s="174"/>
      <c r="H67" s="174"/>
      <c r="I67" s="174"/>
    </row>
    <row r="68" spans="2:9">
      <c r="B68" s="174" t="s">
        <v>270</v>
      </c>
      <c r="C68" s="179" t="str">
        <f>CONVENTIONS!$P$5&amp;CONVENTIONS!M8</f>
        <v>SUPSO2N</v>
      </c>
      <c r="D68" s="179" t="str">
        <f>CONVENTIONS!N8 &amp; " (" &amp; CONVENTIONS!$P$5 &amp; ")"</f>
        <v>Sulfur dioxide - eNergy Emissions (SUP)</v>
      </c>
      <c r="E68" s="174" t="s">
        <v>271</v>
      </c>
      <c r="F68" s="174"/>
      <c r="G68" s="174"/>
      <c r="H68" s="174"/>
      <c r="I68" s="174"/>
    </row>
    <row r="69" spans="2:9">
      <c r="B69" s="174" t="s">
        <v>270</v>
      </c>
      <c r="C69" s="179" t="str">
        <f>CONVENTIONS!$P$5&amp;CONVENTIONS!M9</f>
        <v>SUPCO2N</v>
      </c>
      <c r="D69" s="179" t="str">
        <f>CONVENTIONS!N9 &amp; " (" &amp; CONVENTIONS!$P$5 &amp; ")"</f>
        <v>Carbon Dioxide - eNergy Emissions (SUP)</v>
      </c>
      <c r="E69" s="174" t="s">
        <v>271</v>
      </c>
      <c r="F69" s="174"/>
      <c r="G69" s="174"/>
      <c r="H69" s="174"/>
      <c r="I69" s="174"/>
    </row>
    <row r="70" spans="2:9">
      <c r="B70" s="174" t="s">
        <v>270</v>
      </c>
      <c r="C70" s="179" t="str">
        <f>CONVENTIONS!$P$5&amp;CONVENTIONS!M10</f>
        <v>SUPCO2P</v>
      </c>
      <c r="D70" s="179" t="str">
        <f>CONVENTIONS!N10 &amp; " (" &amp; CONVENTIONS!$P$5 &amp; ")"</f>
        <v>Carbon Dioxide - Process Emissions (SUP)</v>
      </c>
      <c r="E70" s="174" t="s">
        <v>271</v>
      </c>
      <c r="F70" s="174"/>
      <c r="G70" s="174"/>
      <c r="H70" s="174"/>
      <c r="I70" s="174"/>
    </row>
    <row r="71" spans="2:9">
      <c r="B71" s="174" t="s">
        <v>270</v>
      </c>
      <c r="C71" s="179" t="str">
        <f>CONVENTIONS!$P$5&amp;CONVENTIONS!M11</f>
        <v>SUPCO2S</v>
      </c>
      <c r="D71" s="179" t="str">
        <f>CONVENTIONS!N11 &amp; " (" &amp; CONVENTIONS!$P$5 &amp; ")"</f>
        <v>Carbon Dioxide - Sequestered (SUP)</v>
      </c>
      <c r="E71" s="174" t="s">
        <v>271</v>
      </c>
      <c r="F71" s="174"/>
      <c r="G71" s="174"/>
      <c r="H71" s="174"/>
      <c r="I71" s="174"/>
    </row>
    <row r="72" spans="2:9">
      <c r="B72" s="174" t="s">
        <v>270</v>
      </c>
      <c r="C72" s="179" t="str">
        <f>CONVENTIONS!$P$5&amp;CONVENTIONS!M12</f>
        <v>SUPNOXN</v>
      </c>
      <c r="D72" s="179" t="str">
        <f>CONVENTIONS!N12 &amp; " (" &amp; CONVENTIONS!$P$5 &amp; ")"</f>
        <v>Nitrogen Oxide  - eNergy Emissions (SUP)</v>
      </c>
      <c r="E72" s="174" t="s">
        <v>271</v>
      </c>
      <c r="F72" s="174"/>
      <c r="G72" s="174"/>
      <c r="H72" s="174"/>
      <c r="I72" s="174"/>
    </row>
    <row r="73" spans="2:9">
      <c r="B73" s="174" t="s">
        <v>270</v>
      </c>
      <c r="C73" s="179" t="str">
        <f>CONVENTIONS!$P$5&amp;CONVENTIONS!M13</f>
        <v>SUPPM10</v>
      </c>
      <c r="D73" s="179" t="str">
        <f>CONVENTIONS!N13 &amp; " (" &amp; CONVENTIONS!$P$5 &amp; ")"</f>
        <v>Particulate Matter &lt;10 µm (SUP)</v>
      </c>
      <c r="E73" s="174" t="s">
        <v>271</v>
      </c>
      <c r="F73" s="174"/>
      <c r="G73" s="174"/>
      <c r="H73" s="174"/>
      <c r="I73" s="174"/>
    </row>
    <row r="74" spans="2:9">
      <c r="B74" s="174" t="s">
        <v>270</v>
      </c>
      <c r="C74" s="179" t="str">
        <f>CONVENTIONS!$P$5&amp;CONVENTIONS!M14</f>
        <v>SUPPM25</v>
      </c>
      <c r="D74" s="179" t="str">
        <f>CONVENTIONS!N14 &amp; " (" &amp; CONVENTIONS!$P$5 &amp; ")"</f>
        <v>Particulate Matter &lt;2.5 µm (SUP)</v>
      </c>
      <c r="E74" s="174" t="s">
        <v>271</v>
      </c>
      <c r="F74" s="174"/>
      <c r="G74" s="174"/>
      <c r="H74" s="174"/>
      <c r="I74" s="174"/>
    </row>
    <row r="75" spans="2:9">
      <c r="B75" s="185" t="s">
        <v>655</v>
      </c>
      <c r="C75" s="185"/>
      <c r="D75" s="185"/>
      <c r="E75" s="185"/>
      <c r="F75" s="185"/>
      <c r="G75" s="185"/>
      <c r="H75" s="185"/>
      <c r="I75" s="185"/>
    </row>
    <row r="76" spans="2:9">
      <c r="B76" s="174" t="s">
        <v>270</v>
      </c>
      <c r="C76" t="s">
        <v>652</v>
      </c>
      <c r="D76" t="s">
        <v>656</v>
      </c>
      <c r="E76" s="174" t="s">
        <v>271</v>
      </c>
      <c r="F76" t="s">
        <v>657</v>
      </c>
    </row>
    <row r="77" spans="2:9">
      <c r="B77" s="174" t="s">
        <v>270</v>
      </c>
      <c r="C77" t="s">
        <v>653</v>
      </c>
      <c r="D77" t="s">
        <v>658</v>
      </c>
      <c r="E77" s="174" t="s">
        <v>271</v>
      </c>
      <c r="F77" t="s">
        <v>657</v>
      </c>
    </row>
    <row r="78" spans="2:9">
      <c r="B78" t="s">
        <v>23</v>
      </c>
      <c r="C78" t="s">
        <v>662</v>
      </c>
      <c r="D78" t="s">
        <v>259</v>
      </c>
      <c r="E78" t="s">
        <v>10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FF4F-A0CF-43AC-AC4F-5B8E72D4ACA3}">
  <sheetPr codeName="Sheet3"/>
  <dimension ref="B1:T92"/>
  <sheetViews>
    <sheetView topLeftCell="A3" zoomScale="85" zoomScaleNormal="85" workbookViewId="0">
      <selection activeCell="F32" sqref="F32"/>
    </sheetView>
  </sheetViews>
  <sheetFormatPr defaultRowHeight="14.4"/>
  <cols>
    <col min="2" max="2" width="26" customWidth="1"/>
    <col min="3" max="3" width="10.77734375" bestFit="1" customWidth="1"/>
    <col min="4" max="4" width="16" bestFit="1" customWidth="1"/>
    <col min="5" max="5" width="58.77734375" bestFit="1" customWidth="1"/>
    <col min="6" max="6" width="11.5546875" customWidth="1"/>
    <col min="7" max="7" width="12.77734375" customWidth="1"/>
    <col min="8" max="8" width="30.21875" customWidth="1"/>
    <col min="9" max="9" width="25.21875" customWidth="1"/>
    <col min="10" max="10" width="17.21875" customWidth="1"/>
    <col min="14" max="14" width="23.21875" bestFit="1" customWidth="1"/>
    <col min="15" max="15" width="26.5546875" bestFit="1" customWidth="1"/>
    <col min="16" max="16" width="4.21875" customWidth="1"/>
  </cols>
  <sheetData>
    <row r="1" spans="2:10" ht="25.8">
      <c r="B1" s="175" t="s">
        <v>350</v>
      </c>
      <c r="C1" s="175"/>
      <c r="D1" s="176"/>
      <c r="E1" s="176"/>
      <c r="F1" s="176"/>
      <c r="G1" s="176"/>
      <c r="H1" s="176"/>
      <c r="I1" s="176"/>
      <c r="J1" s="176"/>
    </row>
    <row r="3" spans="2:10">
      <c r="B3" s="169" t="s">
        <v>0</v>
      </c>
      <c r="C3" s="169"/>
      <c r="D3" s="170"/>
      <c r="E3" s="170"/>
      <c r="F3" s="170"/>
      <c r="G3" s="170"/>
      <c r="H3" s="170"/>
      <c r="I3" s="170"/>
      <c r="J3" s="170"/>
    </row>
    <row r="4" spans="2:10" ht="15" thickBot="1">
      <c r="B4" s="166" t="s">
        <v>1</v>
      </c>
      <c r="C4" s="166" t="s">
        <v>513</v>
      </c>
      <c r="D4" s="166" t="s">
        <v>2</v>
      </c>
      <c r="E4" s="166" t="s">
        <v>3</v>
      </c>
      <c r="F4" s="166" t="s">
        <v>4</v>
      </c>
      <c r="G4" s="166" t="s">
        <v>5</v>
      </c>
      <c r="H4" s="166" t="s">
        <v>6</v>
      </c>
      <c r="I4" s="166" t="s">
        <v>7</v>
      </c>
      <c r="J4" s="166" t="s">
        <v>8</v>
      </c>
    </row>
    <row r="5" spans="2:10">
      <c r="B5" s="172" t="s">
        <v>133</v>
      </c>
      <c r="C5" s="171"/>
      <c r="D5" s="171" t="s">
        <v>351</v>
      </c>
      <c r="E5" s="171" t="s">
        <v>280</v>
      </c>
      <c r="F5" s="171" t="s">
        <v>352</v>
      </c>
      <c r="G5" s="171" t="s">
        <v>353</v>
      </c>
      <c r="H5" s="171" t="s">
        <v>354</v>
      </c>
      <c r="I5" s="173" t="s">
        <v>355</v>
      </c>
      <c r="J5" s="173" t="s">
        <v>134</v>
      </c>
    </row>
    <row r="6" spans="2:10">
      <c r="B6" s="178" t="s">
        <v>404</v>
      </c>
      <c r="C6" s="177"/>
      <c r="D6" s="177"/>
      <c r="E6" s="178"/>
      <c r="F6" s="178"/>
      <c r="G6" s="178"/>
      <c r="H6" s="178"/>
      <c r="I6" s="178"/>
      <c r="J6" s="178"/>
    </row>
    <row r="7" spans="2:10">
      <c r="B7" s="179" t="str">
        <f>CONVENTIONS!K5</f>
        <v>IMP</v>
      </c>
      <c r="C7" s="228" t="str">
        <f>_xlfn.TEXTJOIN(",",TRUE,IF(LEFT(Regions!$C$3,1)&lt;&gt;"*",Regions!$C$3,""),IF(LEFT(Regions!$D$3,1)&lt;&gt;"*",Regions!$D$3,""))</f>
        <v>IE,National</v>
      </c>
      <c r="D7" s="179" t="str">
        <f>CONVENTIONS!E5</f>
        <v>IMPCOABIT</v>
      </c>
      <c r="E7" s="179" t="str">
        <f>CONVENTIONS!F5</f>
        <v xml:space="preserve">Import of Bituminous Coal </v>
      </c>
      <c r="F7" s="186" t="s">
        <v>10</v>
      </c>
      <c r="G7" s="167" t="s">
        <v>152</v>
      </c>
      <c r="H7" s="167"/>
      <c r="I7" s="187"/>
      <c r="J7" s="167"/>
    </row>
    <row r="8" spans="2:10">
      <c r="B8" s="179" t="str">
        <f>CONVENTIONS!K6</f>
        <v>IMP</v>
      </c>
      <c r="C8" s="228" t="str">
        <f>_xlfn.TEXTJOIN(",",TRUE,IF(LEFT(Regions!$C$3,1)&lt;&gt;"*",Regions!$C$3,""),IF(LEFT(Regions!$D$3,1)&lt;&gt;"*",Regions!$D$3,""))</f>
        <v>IE,National</v>
      </c>
      <c r="D8" s="179" t="str">
        <f>CONVENTIONS!E6</f>
        <v>IMPCOAHAR</v>
      </c>
      <c r="E8" s="179" t="str">
        <f>CONVENTIONS!F6</f>
        <v xml:space="preserve">Import of Hard Coal / Antracite </v>
      </c>
      <c r="F8" s="186" t="s">
        <v>10</v>
      </c>
      <c r="G8" s="167" t="s">
        <v>152</v>
      </c>
      <c r="H8" s="187"/>
      <c r="I8" s="187"/>
      <c r="J8" s="167"/>
    </row>
    <row r="9" spans="2:10">
      <c r="B9" s="179" t="str">
        <f>CONVENTIONS!K7</f>
        <v>IMP</v>
      </c>
      <c r="C9" s="228" t="str">
        <f>_xlfn.TEXTJOIN(",",TRUE,IF(LEFT(Regions!$C$3,1)&lt;&gt;"*",Regions!$C$3,""),IF(LEFT(Regions!$D$3,1)&lt;&gt;"*",Regions!$D$3,""))</f>
        <v>IE,National</v>
      </c>
      <c r="D9" s="179" t="str">
        <f>CONVENTIONS!E7</f>
        <v>IMPCOACOK</v>
      </c>
      <c r="E9" s="179" t="str">
        <f>CONVENTIONS!F7</f>
        <v xml:space="preserve">Import of Coke Coal </v>
      </c>
      <c r="F9" s="186" t="s">
        <v>10</v>
      </c>
      <c r="G9" s="167" t="s">
        <v>152</v>
      </c>
      <c r="H9" s="187"/>
      <c r="I9" s="187"/>
      <c r="J9" s="167"/>
    </row>
    <row r="10" spans="2:10">
      <c r="B10" s="179" t="str">
        <f>CONVENTIONS!K8</f>
        <v>IMP</v>
      </c>
      <c r="C10" s="228" t="str">
        <f>_xlfn.TEXTJOIN(",",TRUE,IF(LEFT(Regions!$C$3,1)&lt;&gt;"*",Regions!$C$3,""),IF(LEFT(Regions!$D$3,1)&lt;&gt;"*",Regions!$D$3,""))</f>
        <v>IE,National</v>
      </c>
      <c r="D10" s="179" t="str">
        <f>CONVENTIONS!E8</f>
        <v>IMPCOALIG</v>
      </c>
      <c r="E10" s="179" t="str">
        <f>CONVENTIONS!F8</f>
        <v xml:space="preserve">Import of Lignite /  Brown Coal </v>
      </c>
      <c r="F10" s="186" t="s">
        <v>10</v>
      </c>
      <c r="G10" s="167" t="s">
        <v>152</v>
      </c>
      <c r="H10" s="187"/>
      <c r="I10" s="187"/>
      <c r="J10" s="167"/>
    </row>
    <row r="11" spans="2:10">
      <c r="B11" s="179" t="str">
        <f>CONVENTIONS!K9</f>
        <v>IMP</v>
      </c>
      <c r="C11" s="228" t="str">
        <f>_xlfn.TEXTJOIN(",",TRUE,IF(LEFT(Regions!$C$3,1)&lt;&gt;"*",Regions!$C$3,""),IF(LEFT(Regions!$D$3,1)&lt;&gt;"*",Regions!$D$3,""))</f>
        <v>IE,National</v>
      </c>
      <c r="D11" s="179" t="str">
        <f>CONVENTIONS!E9</f>
        <v>IMPOILCRD</v>
      </c>
      <c r="E11" s="179" t="str">
        <f>CONVENTIONS!F9</f>
        <v xml:space="preserve">Import of Crude Oil </v>
      </c>
      <c r="F11" s="186" t="s">
        <v>10</v>
      </c>
      <c r="G11" s="167" t="s">
        <v>152</v>
      </c>
      <c r="H11" s="187"/>
      <c r="I11" s="187"/>
      <c r="J11" s="167"/>
    </row>
    <row r="12" spans="2:10">
      <c r="B12" s="179" t="str">
        <f>CONVENTIONS!K10</f>
        <v>IMP</v>
      </c>
      <c r="C12" s="228" t="str">
        <f>_xlfn.TEXTJOIN(",",TRUE,IF(LEFT(Regions!$C$3,1)&lt;&gt;"*",Regions!$C$3,""),IF(LEFT(Regions!$D$3,1)&lt;&gt;"*",Regions!$D$3,""))</f>
        <v>IE,National</v>
      </c>
      <c r="D12" s="179" t="str">
        <f>CONVENTIONS!E10</f>
        <v>IMPOILKER</v>
      </c>
      <c r="E12" s="179" t="str">
        <f>CONVENTIONS!F10</f>
        <v xml:space="preserve">Import of Kerosene </v>
      </c>
      <c r="F12" s="186" t="s">
        <v>10</v>
      </c>
      <c r="G12" s="167" t="s">
        <v>152</v>
      </c>
      <c r="H12" s="187"/>
      <c r="I12" s="187"/>
      <c r="J12" s="167"/>
    </row>
    <row r="13" spans="2:10">
      <c r="B13" s="179" t="str">
        <f>CONVENTIONS!K11</f>
        <v>IMP</v>
      </c>
      <c r="C13" s="228" t="str">
        <f>_xlfn.TEXTJOIN(",",TRUE,IF(LEFT(Regions!$C$3,1)&lt;&gt;"*",Regions!$C$3,""),IF(LEFT(Regions!$D$3,1)&lt;&gt;"*",Regions!$D$3,""))</f>
        <v>IE,National</v>
      </c>
      <c r="D13" s="179" t="str">
        <f>CONVENTIONS!E11</f>
        <v>IMPOILHFO</v>
      </c>
      <c r="E13" s="179" t="str">
        <f>CONVENTIONS!F11</f>
        <v xml:space="preserve">Import of Heavy Fuel Oil </v>
      </c>
      <c r="F13" s="186" t="s">
        <v>10</v>
      </c>
      <c r="G13" s="167" t="s">
        <v>152</v>
      </c>
      <c r="H13" s="187"/>
      <c r="I13" s="187"/>
      <c r="J13" s="167"/>
    </row>
    <row r="14" spans="2:10">
      <c r="B14" s="179" t="str">
        <f>CONVENTIONS!K12</f>
        <v>IMP</v>
      </c>
      <c r="C14" s="228" t="str">
        <f>_xlfn.TEXTJOIN(",",TRUE,IF(LEFT(Regions!$C$3,1)&lt;&gt;"*",Regions!$C$3,""),IF(LEFT(Regions!$D$3,1)&lt;&gt;"*",Regions!$D$3,""))</f>
        <v>IE,National</v>
      </c>
      <c r="D14" s="179" t="str">
        <f>CONVENTIONS!E12</f>
        <v>IMPOILDST</v>
      </c>
      <c r="E14" s="179" t="str">
        <f>CONVENTIONS!F12</f>
        <v xml:space="preserve">Import of Diesel Oil </v>
      </c>
      <c r="F14" s="186" t="s">
        <v>10</v>
      </c>
      <c r="G14" s="167" t="s">
        <v>152</v>
      </c>
      <c r="H14" s="187"/>
      <c r="I14" s="187"/>
      <c r="J14" s="167"/>
    </row>
    <row r="15" spans="2:10">
      <c r="B15" s="179" t="str">
        <f>CONVENTIONS!K13</f>
        <v>IMP</v>
      </c>
      <c r="C15" s="228" t="str">
        <f>_xlfn.TEXTJOIN(",",TRUE,IF(LEFT(Regions!$C$3,1)&lt;&gt;"*",Regions!$C$3,""),IF(LEFT(Regions!$D$3,1)&lt;&gt;"*",Regions!$D$3,""))</f>
        <v>IE,National</v>
      </c>
      <c r="D15" s="179" t="str">
        <f>CONVENTIONS!E13</f>
        <v>IMPOILLPG</v>
      </c>
      <c r="E15" s="179" t="str">
        <f>CONVENTIONS!F13</f>
        <v xml:space="preserve">Import of Liquified Petroleum Gas </v>
      </c>
      <c r="F15" s="186" t="s">
        <v>10</v>
      </c>
      <c r="G15" s="167" t="s">
        <v>152</v>
      </c>
      <c r="H15" s="187"/>
      <c r="I15" s="187"/>
      <c r="J15" s="167"/>
    </row>
    <row r="16" spans="2:10">
      <c r="B16" s="179" t="str">
        <f>CONVENTIONS!K14</f>
        <v>IMP</v>
      </c>
      <c r="C16" s="228" t="str">
        <f>_xlfn.TEXTJOIN(",",TRUE,IF(LEFT(Regions!$C$3,1)&lt;&gt;"*",Regions!$C$3,""),IF(LEFT(Regions!$D$3,1)&lt;&gt;"*",Regions!$D$3,""))</f>
        <v>IE,National</v>
      </c>
      <c r="D16" s="179" t="str">
        <f>CONVENTIONS!E14</f>
        <v>IMPOILGSL</v>
      </c>
      <c r="E16" s="179" t="str">
        <f>CONVENTIONS!F14</f>
        <v xml:space="preserve">Import of Gasoline </v>
      </c>
      <c r="F16" s="186" t="s">
        <v>10</v>
      </c>
      <c r="G16" s="167" t="s">
        <v>152</v>
      </c>
      <c r="H16" s="187"/>
      <c r="I16" s="187"/>
      <c r="J16" s="167"/>
    </row>
    <row r="17" spans="2:10">
      <c r="B17" s="179" t="str">
        <f>CONVENTIONS!K15</f>
        <v>IMP</v>
      </c>
      <c r="C17" s="228" t="str">
        <f>_xlfn.TEXTJOIN(",",TRUE,IF(LEFT(Regions!$C$3,1)&lt;&gt;"*",Regions!$C$3,""),IF(LEFT(Regions!$D$3,1)&lt;&gt;"*",Regions!$D$3,""))</f>
        <v>IE,National</v>
      </c>
      <c r="D17" s="179" t="str">
        <f>CONVENTIONS!E15</f>
        <v>IMPOILCOK</v>
      </c>
      <c r="E17" s="179" t="str">
        <f>CONVENTIONS!F15</f>
        <v xml:space="preserve">Import of Petroleum Coke </v>
      </c>
      <c r="F17" s="186" t="s">
        <v>10</v>
      </c>
      <c r="G17" s="167" t="s">
        <v>152</v>
      </c>
      <c r="H17" s="167"/>
      <c r="I17" s="167"/>
      <c r="J17" s="167"/>
    </row>
    <row r="18" spans="2:10">
      <c r="B18" s="179" t="str">
        <f>CONVENTIONS!K16</f>
        <v>IMP</v>
      </c>
      <c r="C18" s="228" t="str">
        <f>_xlfn.TEXTJOIN(",",TRUE,IF(LEFT(Regions!$C$3,1)&lt;&gt;"*",Regions!$C$3,""),IF(LEFT(Regions!$D$3,1)&lt;&gt;"*",Regions!$D$3,""))</f>
        <v>IE,National</v>
      </c>
      <c r="D18" s="179" t="str">
        <f>CONVENTIONS!E16</f>
        <v>IMPOILNEU</v>
      </c>
      <c r="E18" s="179" t="str">
        <f>CONVENTIONS!F16</f>
        <v>Import of Oil for Non-Energy uses</v>
      </c>
      <c r="F18" s="184" t="s">
        <v>10</v>
      </c>
      <c r="G18" s="167" t="s">
        <v>152</v>
      </c>
      <c r="H18" s="187"/>
      <c r="I18" s="187"/>
      <c r="J18" s="184"/>
    </row>
    <row r="19" spans="2:10">
      <c r="B19" s="179" t="str">
        <f>CONVENTIONS!K17</f>
        <v>IMP</v>
      </c>
      <c r="C19" s="228" t="str">
        <f>_xlfn.TEXTJOIN(",",TRUE,IF(LEFT(Regions!$C$3,1)&lt;&gt;"*",Regions!$C$3,""),IF(LEFT(Regions!$D$3,1)&lt;&gt;"*",Regions!$D$3,""))</f>
        <v>IE,National</v>
      </c>
      <c r="D19" s="179" t="str">
        <f>CONVENTIONS!E17</f>
        <v>IMPGASNAT_UK</v>
      </c>
      <c r="E19" s="179" t="str">
        <f>CONVENTIONS!F17</f>
        <v>Import of Natural Gas  - UK</v>
      </c>
      <c r="F19" s="186" t="s">
        <v>10</v>
      </c>
      <c r="G19" s="167" t="s">
        <v>152</v>
      </c>
      <c r="H19" s="187"/>
      <c r="I19" s="187"/>
      <c r="J19" s="184"/>
    </row>
    <row r="20" spans="2:10">
      <c r="B20" s="179" t="str">
        <f>CONVENTIONS!K18</f>
        <v>IMP</v>
      </c>
      <c r="C20" s="228" t="str">
        <f>_xlfn.TEXTJOIN(",",TRUE,IF(LEFT(Regions!$C$3,1)&lt;&gt;"*",Regions!$C$3,""),IF(LEFT(Regions!$D$3,1)&lt;&gt;"*",Regions!$D$3,""))</f>
        <v>IE,National</v>
      </c>
      <c r="D20" s="179" t="str">
        <f>CONVENTIONS!E18</f>
        <v>IMPGASLNG_GLOBAL</v>
      </c>
      <c r="E20" s="179" t="str">
        <f>CONVENTIONS!F18</f>
        <v xml:space="preserve">Import of Liquified Natural Gas </v>
      </c>
      <c r="F20" s="186" t="s">
        <v>10</v>
      </c>
      <c r="G20" s="167" t="s">
        <v>152</v>
      </c>
      <c r="H20" s="187"/>
      <c r="I20" s="187"/>
      <c r="J20" s="167"/>
    </row>
    <row r="21" spans="2:10">
      <c r="B21" s="179" t="str">
        <f>CONVENTIONS!K19</f>
        <v>IMP</v>
      </c>
      <c r="C21" s="228" t="str">
        <f>_xlfn.TEXTJOIN(",",TRUE,IF(LEFT(Regions!$C$3,1)&lt;&gt;"*",Regions!$C$3,""),IF(LEFT(Regions!$D$3,1)&lt;&gt;"*",Regions!$D$3,""))</f>
        <v>IE,National</v>
      </c>
      <c r="D21" s="179" t="str">
        <f>CONVENTIONS!E19</f>
        <v>IMPNUCURM</v>
      </c>
      <c r="E21" s="179" t="str">
        <f>CONVENTIONS!F19</f>
        <v>Import of Uranium</v>
      </c>
      <c r="F21" s="186" t="s">
        <v>10</v>
      </c>
      <c r="G21" s="167" t="s">
        <v>152</v>
      </c>
      <c r="H21" s="187"/>
      <c r="I21" s="187"/>
      <c r="J21" s="184"/>
    </row>
    <row r="22" spans="2:10">
      <c r="B22" s="177" t="s">
        <v>405</v>
      </c>
      <c r="C22" s="177"/>
      <c r="D22" s="177"/>
      <c r="E22" s="178"/>
      <c r="F22" s="178"/>
      <c r="G22" s="178"/>
      <c r="H22" s="178"/>
      <c r="I22" s="178"/>
      <c r="J22" s="178"/>
    </row>
    <row r="23" spans="2:10">
      <c r="B23" s="179" t="str">
        <f>CONVENTIONS!K20</f>
        <v>IMP</v>
      </c>
      <c r="C23" s="228" t="str">
        <f>_xlfn.TEXTJOIN(",",TRUE,IF(LEFT(Regions!$C$3,1)&lt;&gt;"*",Regions!$C$3,""),IF(LEFT(Regions!$D$3,1)&lt;&gt;"*",Regions!$D$3,""))</f>
        <v>IE,National</v>
      </c>
      <c r="D23" s="179" t="str">
        <f>CONVENTIONS!E20</f>
        <v>IMPBIOETH1G_S1</v>
      </c>
      <c r="E23" s="179" t="str">
        <f>CONVENTIONS!F20</f>
        <v>Import of Ethanol 1st generation  - Step 1</v>
      </c>
      <c r="F23" s="186" t="s">
        <v>10</v>
      </c>
      <c r="G23" s="167" t="s">
        <v>152</v>
      </c>
      <c r="H23" s="187"/>
      <c r="I23" s="188"/>
      <c r="J23" s="189"/>
    </row>
    <row r="24" spans="2:10">
      <c r="B24" s="179" t="str">
        <f>CONVENTIONS!K21</f>
        <v>IMP</v>
      </c>
      <c r="C24" s="228" t="str">
        <f>_xlfn.TEXTJOIN(",",TRUE,IF(LEFT(Regions!$C$3,1)&lt;&gt;"*",Regions!$C$3,""),IF(LEFT(Regions!$D$3,1)&lt;&gt;"*",Regions!$D$3,""))</f>
        <v>IE,National</v>
      </c>
      <c r="D24" s="179" t="str">
        <f>CONVENTIONS!E21</f>
        <v>IMPBIOETH1G_S2</v>
      </c>
      <c r="E24" s="179" t="str">
        <f>CONVENTIONS!F21</f>
        <v>Import of Ethanol 1st generation  - Step 2</v>
      </c>
      <c r="F24" s="186" t="s">
        <v>10</v>
      </c>
      <c r="G24" s="167" t="s">
        <v>152</v>
      </c>
      <c r="H24" s="187"/>
      <c r="I24" s="188"/>
      <c r="J24" s="189"/>
    </row>
    <row r="25" spans="2:10">
      <c r="B25" s="179" t="str">
        <f>CONVENTIONS!K22</f>
        <v>IMP</v>
      </c>
      <c r="C25" s="228" t="str">
        <f>_xlfn.TEXTJOIN(",",TRUE,IF(LEFT(Regions!$C$3,1)&lt;&gt;"*",Regions!$C$3,""),IF(LEFT(Regions!$D$3,1)&lt;&gt;"*",Regions!$D$3,""))</f>
        <v>IE,National</v>
      </c>
      <c r="D25" s="179" t="str">
        <f>CONVENTIONS!E22</f>
        <v>IMPBIOETH1G_S3</v>
      </c>
      <c r="E25" s="179" t="str">
        <f>CONVENTIONS!F22</f>
        <v>Import of Ethanol 1st generation  - Step 3</v>
      </c>
      <c r="F25" s="186" t="s">
        <v>10</v>
      </c>
      <c r="G25" s="167" t="s">
        <v>152</v>
      </c>
      <c r="H25" s="187"/>
      <c r="I25" s="188"/>
      <c r="J25" s="189"/>
    </row>
    <row r="26" spans="2:10">
      <c r="B26" s="179" t="str">
        <f>CONVENTIONS!K23</f>
        <v>IMP</v>
      </c>
      <c r="C26" s="228" t="str">
        <f>_xlfn.TEXTJOIN(",",TRUE,IF(LEFT(Regions!$C$3,1)&lt;&gt;"*",Regions!$C$3,""),IF(LEFT(Regions!$D$3,1)&lt;&gt;"*",Regions!$D$3,""))</f>
        <v>IE,National</v>
      </c>
      <c r="D26" s="179" t="str">
        <f>CONVENTIONS!E23</f>
        <v>IMPBIOETH1G_S4</v>
      </c>
      <c r="E26" s="179" t="str">
        <f>CONVENTIONS!F23</f>
        <v>Import of Ethanol 1st generation  - Step 4</v>
      </c>
      <c r="F26" s="186" t="s">
        <v>10</v>
      </c>
      <c r="G26" s="167" t="s">
        <v>152</v>
      </c>
      <c r="H26" s="184"/>
      <c r="I26" s="188"/>
      <c r="J26" s="184"/>
    </row>
    <row r="27" spans="2:10">
      <c r="B27" s="179" t="str">
        <f>CONVENTIONS!K24</f>
        <v>IMP</v>
      </c>
      <c r="C27" s="228" t="str">
        <f>_xlfn.TEXTJOIN(",",TRUE,IF(LEFT(Regions!$C$3,1)&lt;&gt;"*",Regions!$C$3,""),IF(LEFT(Regions!$D$3,1)&lt;&gt;"*",Regions!$D$3,""))</f>
        <v>IE,National</v>
      </c>
      <c r="D27" s="179" t="str">
        <f>CONVENTIONS!E24</f>
        <v>IMPBIODST1G_S1</v>
      </c>
      <c r="E27" s="179" t="str">
        <f>CONVENTIONS!F24</f>
        <v>Import of Biodiesel 1st generation  - Step 1</v>
      </c>
      <c r="F27" s="186" t="s">
        <v>10</v>
      </c>
      <c r="G27" s="167" t="s">
        <v>152</v>
      </c>
      <c r="H27" s="184"/>
      <c r="I27" s="188"/>
      <c r="J27" s="184"/>
    </row>
    <row r="28" spans="2:10">
      <c r="B28" s="179" t="str">
        <f>CONVENTIONS!K25</f>
        <v>IMP</v>
      </c>
      <c r="C28" s="228" t="str">
        <f>_xlfn.TEXTJOIN(",",TRUE,IF(LEFT(Regions!$C$3,1)&lt;&gt;"*",Regions!$C$3,""),IF(LEFT(Regions!$D$3,1)&lt;&gt;"*",Regions!$D$3,""))</f>
        <v>IE,National</v>
      </c>
      <c r="D28" s="179" t="str">
        <f>CONVENTIONS!E25</f>
        <v>IMPBIODST1G_S2</v>
      </c>
      <c r="E28" s="179" t="str">
        <f>CONVENTIONS!F25</f>
        <v>Import of Biodiesel 1st generation  - Step 2</v>
      </c>
      <c r="F28" s="186" t="s">
        <v>10</v>
      </c>
      <c r="G28" s="167" t="s">
        <v>152</v>
      </c>
      <c r="H28" s="184"/>
      <c r="I28" s="188"/>
      <c r="J28" s="184"/>
    </row>
    <row r="29" spans="2:10">
      <c r="B29" s="179" t="str">
        <f>CONVENTIONS!K26</f>
        <v>IMP</v>
      </c>
      <c r="C29" s="228" t="str">
        <f>_xlfn.TEXTJOIN(",",TRUE,IF(LEFT(Regions!$C$3,1)&lt;&gt;"*",Regions!$C$3,""),IF(LEFT(Regions!$D$3,1)&lt;&gt;"*",Regions!$D$3,""))</f>
        <v>IE,National</v>
      </c>
      <c r="D29" s="179" t="str">
        <f>CONVENTIONS!E26</f>
        <v>IMPBIODST1G_S3</v>
      </c>
      <c r="E29" s="179" t="str">
        <f>CONVENTIONS!F26</f>
        <v>Import of Biodiesel 1st generation  - Step 3</v>
      </c>
      <c r="F29" s="186" t="s">
        <v>10</v>
      </c>
      <c r="G29" s="167" t="s">
        <v>152</v>
      </c>
      <c r="H29" s="184"/>
      <c r="I29" s="188"/>
      <c r="J29" s="184"/>
    </row>
    <row r="30" spans="2:10">
      <c r="B30" s="179" t="str">
        <f>CONVENTIONS!K27</f>
        <v>IMP</v>
      </c>
      <c r="C30" s="228" t="str">
        <f>_xlfn.TEXTJOIN(",",TRUE,IF(LEFT(Regions!$C$3,1)&lt;&gt;"*",Regions!$C$3,""),IF(LEFT(Regions!$D$3,1)&lt;&gt;"*",Regions!$D$3,""))</f>
        <v>IE,National</v>
      </c>
      <c r="D30" s="179" t="str">
        <f>CONVENTIONS!E27</f>
        <v>IMPBIODST1G_S4</v>
      </c>
      <c r="E30" s="179" t="str">
        <f>CONVENTIONS!F27</f>
        <v>Import of Biodiesel 1st generation  - Step 4</v>
      </c>
      <c r="F30" s="186" t="s">
        <v>10</v>
      </c>
      <c r="G30" s="167" t="s">
        <v>152</v>
      </c>
      <c r="H30" s="184"/>
      <c r="I30" s="188"/>
      <c r="J30" s="184"/>
    </row>
    <row r="31" spans="2:10">
      <c r="B31" s="462" t="str">
        <f>CONVENTIONS!K29</f>
        <v>IMP</v>
      </c>
      <c r="C31" s="462" t="str">
        <f>_xlfn.TEXTJOIN(",",TRUE,IF(LEFT(Regions!$C$3,1)&lt;&gt;"*",Regions!$C$3,""),IF(LEFT(Regions!$D$3,1)&lt;&gt;"*",Regions!$D$3,""))</f>
        <v>IE,National</v>
      </c>
      <c r="D31" s="462" t="str">
        <f>CONVENTIONS!E28</f>
        <v>IMPBIOJKR_S1</v>
      </c>
      <c r="E31" s="462" t="str">
        <f>CONVENTIONS!F28</f>
        <v>Import of Bio Jet Kerosene - Step 1</v>
      </c>
      <c r="F31" s="463" t="s">
        <v>10</v>
      </c>
      <c r="G31" t="s">
        <v>152</v>
      </c>
      <c r="H31" s="184"/>
      <c r="I31" s="188"/>
      <c r="J31" s="184"/>
    </row>
    <row r="32" spans="2:10">
      <c r="B32" s="464" t="str">
        <f>B31</f>
        <v>IMP</v>
      </c>
      <c r="C32" s="464" t="str">
        <f>C31</f>
        <v>IE,National</v>
      </c>
      <c r="D32" s="464" t="s">
        <v>667</v>
      </c>
      <c r="E32" s="464" t="s">
        <v>668</v>
      </c>
      <c r="F32" s="465" t="s">
        <v>10</v>
      </c>
      <c r="G32" s="464" t="s">
        <v>152</v>
      </c>
      <c r="H32" s="184"/>
      <c r="I32" s="188"/>
      <c r="J32" s="184"/>
    </row>
    <row r="33" spans="2:10">
      <c r="B33" s="179" t="str">
        <f>CONVENTIONS!K29</f>
        <v>IMP</v>
      </c>
      <c r="C33" s="179" t="str">
        <f>_xlfn.TEXTJOIN(",",TRUE,IF(LEFT(Regions!$C$3,1)&lt;&gt;"*",Regions!$C$3,""),IF(LEFT(Regions!$D$3,1)&lt;&gt;"*",Regions!$D$3,""))</f>
        <v>IE,National</v>
      </c>
      <c r="D33" s="179" t="str">
        <f>CONVENTIONS!E29</f>
        <v>IMPBIOWPE_S1</v>
      </c>
      <c r="E33" s="179" t="str">
        <f>CONVENTIONS!F29</f>
        <v>Import of Wood Pellets  - Step 1</v>
      </c>
      <c r="F33" s="186" t="s">
        <v>10</v>
      </c>
      <c r="G33" s="167" t="s">
        <v>152</v>
      </c>
      <c r="H33" s="184"/>
      <c r="I33" s="188"/>
      <c r="J33" s="184"/>
    </row>
    <row r="34" spans="2:10">
      <c r="B34" s="179" t="str">
        <f>CONVENTIONS!K30</f>
        <v>IMP</v>
      </c>
      <c r="C34" s="179" t="str">
        <f>_xlfn.TEXTJOIN(",",TRUE,IF(LEFT(Regions!$C$3,1)&lt;&gt;"*",Regions!$C$3,""),IF(LEFT(Regions!$D$3,1)&lt;&gt;"*",Regions!$D$3,""))</f>
        <v>IE,National</v>
      </c>
      <c r="D34" s="179" t="str">
        <f>CONVENTIONS!E30</f>
        <v>IMPBIOWPE_S2</v>
      </c>
      <c r="E34" s="179" t="str">
        <f>CONVENTIONS!F30</f>
        <v>Import of Wood Pellets  - Step 2</v>
      </c>
      <c r="F34" s="186" t="s">
        <v>10</v>
      </c>
      <c r="G34" s="167" t="s">
        <v>152</v>
      </c>
      <c r="H34" s="184"/>
      <c r="I34" s="188"/>
      <c r="J34" s="184"/>
    </row>
    <row r="35" spans="2:10">
      <c r="B35" s="179" t="str">
        <f>CONVENTIONS!K31</f>
        <v>IMP</v>
      </c>
      <c r="C35" s="179" t="str">
        <f>_xlfn.TEXTJOIN(",",TRUE,IF(LEFT(Regions!$C$3,1)&lt;&gt;"*",Regions!$C$3,""),IF(LEFT(Regions!$D$3,1)&lt;&gt;"*",Regions!$D$3,""))</f>
        <v>IE,National</v>
      </c>
      <c r="D35" s="179" t="str">
        <f>CONVENTIONS!E31</f>
        <v>IMPBIOWPE_S3</v>
      </c>
      <c r="E35" s="179" t="str">
        <f>CONVENTIONS!F31</f>
        <v>Import of Wood Pellets  - Step 3</v>
      </c>
      <c r="F35" s="186" t="s">
        <v>10</v>
      </c>
      <c r="G35" s="167" t="s">
        <v>152</v>
      </c>
      <c r="H35" s="184"/>
      <c r="I35" s="188"/>
      <c r="J35" s="184"/>
    </row>
    <row r="36" spans="2:10">
      <c r="B36" s="179" t="str">
        <f>CONVENTIONS!K32</f>
        <v>IMP</v>
      </c>
      <c r="C36" s="179" t="str">
        <f>_xlfn.TEXTJOIN(",",TRUE,IF(LEFT(Regions!$C$3,1)&lt;&gt;"*",Regions!$C$3,""),IF(LEFT(Regions!$D$3,1)&lt;&gt;"*",Regions!$D$3,""))</f>
        <v>IE,National</v>
      </c>
      <c r="D36" s="179" t="str">
        <f>CONVENTIONS!E32</f>
        <v>IMPBIOWPE_S4</v>
      </c>
      <c r="E36" s="179" t="str">
        <f>CONVENTIONS!F32</f>
        <v>Import of Wood Pellets  - Step 4</v>
      </c>
      <c r="F36" s="186" t="s">
        <v>10</v>
      </c>
      <c r="G36" s="167" t="s">
        <v>152</v>
      </c>
      <c r="H36" s="184"/>
      <c r="I36" s="188"/>
      <c r="J36" s="184"/>
    </row>
    <row r="37" spans="2:10">
      <c r="B37" s="179" t="str">
        <f>CONVENTIONS!K33</f>
        <v>IMP</v>
      </c>
      <c r="C37" s="179" t="str">
        <f>_xlfn.TEXTJOIN(",",TRUE,IF(LEFT(Regions!$C$3,1)&lt;&gt;"*",Regions!$C$3,""),IF(LEFT(Regions!$D$3,1)&lt;&gt;"*",Regions!$D$3,""))</f>
        <v>IE,National</v>
      </c>
      <c r="D37" s="179" t="str">
        <f>CONVENTIONS!E33</f>
        <v>IMPBIOWCH_S1</v>
      </c>
      <c r="E37" s="179" t="str">
        <f>CONVENTIONS!F33</f>
        <v>Import of Wood Chip  - Step 1</v>
      </c>
      <c r="F37" s="184" t="s">
        <v>10</v>
      </c>
      <c r="G37" s="167" t="s">
        <v>152</v>
      </c>
      <c r="H37" s="184"/>
      <c r="I37" s="188"/>
      <c r="J37" s="184"/>
    </row>
    <row r="38" spans="2:10">
      <c r="B38" s="179" t="str">
        <f>CONVENTIONS!K34</f>
        <v>IMP</v>
      </c>
      <c r="C38" s="179" t="str">
        <f>_xlfn.TEXTJOIN(",",TRUE,IF(LEFT(Regions!$C$3,1)&lt;&gt;"*",Regions!$C$3,""),IF(LEFT(Regions!$D$3,1)&lt;&gt;"*",Regions!$D$3,""))</f>
        <v>IE,National</v>
      </c>
      <c r="D38" s="179" t="str">
        <f>CONVENTIONS!E34</f>
        <v>IMPBIOWCH_S2</v>
      </c>
      <c r="E38" s="179" t="str">
        <f>CONVENTIONS!F34</f>
        <v>Import of Wood Chip  - Step 2</v>
      </c>
      <c r="F38" s="186" t="s">
        <v>10</v>
      </c>
      <c r="G38" s="167" t="s">
        <v>152</v>
      </c>
      <c r="H38" s="184"/>
      <c r="I38" s="188"/>
      <c r="J38" s="184"/>
    </row>
    <row r="39" spans="2:10">
      <c r="B39" s="179" t="str">
        <f>CONVENTIONS!K35</f>
        <v>IMP</v>
      </c>
      <c r="C39" s="179" t="str">
        <f>_xlfn.TEXTJOIN(",",TRUE,IF(LEFT(Regions!$C$3,1)&lt;&gt;"*",Regions!$C$3,""),IF(LEFT(Regions!$D$3,1)&lt;&gt;"*",Regions!$D$3,""))</f>
        <v>IE,National</v>
      </c>
      <c r="D39" s="179" t="str">
        <f>CONVENTIONS!E35</f>
        <v>IMPBIOWCH_S3</v>
      </c>
      <c r="E39" s="179" t="str">
        <f>CONVENTIONS!F35</f>
        <v>Import of Wood Chip  - Step 3</v>
      </c>
      <c r="F39" s="186" t="s">
        <v>10</v>
      </c>
      <c r="G39" s="167" t="s">
        <v>152</v>
      </c>
      <c r="H39" s="184"/>
      <c r="I39" s="188"/>
      <c r="J39" s="184"/>
    </row>
    <row r="40" spans="2:10">
      <c r="B40" s="179" t="str">
        <f>CONVENTIONS!K36</f>
        <v>IMP</v>
      </c>
      <c r="C40" s="179" t="str">
        <f>_xlfn.TEXTJOIN(",",TRUE,IF(LEFT(Regions!$C$3,1)&lt;&gt;"*",Regions!$C$3,""),IF(LEFT(Regions!$D$3,1)&lt;&gt;"*",Regions!$D$3,""))</f>
        <v>IE,National</v>
      </c>
      <c r="D40" s="179" t="str">
        <f>CONVENTIONS!E36</f>
        <v>IMPBIOWCH_S4</v>
      </c>
      <c r="E40" s="179" t="str">
        <f>CONVENTIONS!F36</f>
        <v>Import of Wood Chip  - Step 4</v>
      </c>
      <c r="F40" s="186" t="s">
        <v>10</v>
      </c>
      <c r="G40" s="167" t="s">
        <v>152</v>
      </c>
      <c r="H40" s="184"/>
      <c r="I40" s="188"/>
      <c r="J40" s="184"/>
    </row>
    <row r="41" spans="2:10">
      <c r="B41" s="177" t="s">
        <v>406</v>
      </c>
      <c r="C41" s="177"/>
      <c r="D41" s="177"/>
      <c r="E41" s="178"/>
      <c r="F41" s="178"/>
      <c r="G41" s="178"/>
      <c r="H41" s="178"/>
      <c r="I41" s="178"/>
      <c r="J41" s="178"/>
    </row>
    <row r="42" spans="2:10">
      <c r="B42" s="179" t="str">
        <f>CONVENTIONS!K37</f>
        <v>MIN</v>
      </c>
      <c r="C42" s="179" t="str">
        <f>_xlfn.TEXTJOIN(",",TRUE,IF(LEFT(Regions!$C$3,1)&lt;&gt;"*",Regions!$C$3,""),IF(LEFT(Regions!$D$3,1)&lt;&gt;"*",Regions!$D$3,""))</f>
        <v>IE,National</v>
      </c>
      <c r="D42" s="179" t="str">
        <f>CONVENTIONS!E37</f>
        <v>MINGASNAT_S1</v>
      </c>
      <c r="E42" s="179" t="str">
        <f>CONVENTIONS!F37</f>
        <v>Domestic Potential of Natural Gas  - Step 1</v>
      </c>
      <c r="F42" s="186" t="s">
        <v>10</v>
      </c>
      <c r="G42" s="167" t="s">
        <v>152</v>
      </c>
      <c r="H42" s="184"/>
      <c r="I42" s="188"/>
      <c r="J42" s="184"/>
    </row>
    <row r="43" spans="2:10">
      <c r="B43" s="179" t="str">
        <f>CONVENTIONS!K38</f>
        <v>MIN</v>
      </c>
      <c r="C43" s="179" t="str">
        <f>_xlfn.TEXTJOIN(",",TRUE,IF(LEFT(Regions!$C$3,1)&lt;&gt;"*",Regions!$C$3,""),IF(LEFT(Regions!$D$3,1)&lt;&gt;"*",Regions!$D$3,""))</f>
        <v>IE,National</v>
      </c>
      <c r="D43" s="179" t="str">
        <f>CONVENTIONS!E38</f>
        <v>MINGASNAT_S2</v>
      </c>
      <c r="E43" s="179" t="str">
        <f>CONVENTIONS!F38</f>
        <v>Domestic Potential of Natural Gas  - Step 2</v>
      </c>
      <c r="F43" s="186" t="s">
        <v>10</v>
      </c>
      <c r="G43" s="167" t="s">
        <v>152</v>
      </c>
      <c r="H43" s="184"/>
      <c r="I43" s="188"/>
      <c r="J43" s="184"/>
    </row>
    <row r="44" spans="2:10">
      <c r="B44" s="179" t="str">
        <f>CONVENTIONS!K39</f>
        <v>MIN</v>
      </c>
      <c r="C44" s="179" t="str">
        <f>_xlfn.TEXTJOIN(",",TRUE,IF(LEFT(Regions!$C$3,1)&lt;&gt;"*",Regions!$C$3,""),IF(LEFT(Regions!$D$3,1)&lt;&gt;"*",Regions!$D$3,""))</f>
        <v>IE,National</v>
      </c>
      <c r="D44" s="179" t="str">
        <f>CONVENTIONS!E39</f>
        <v>MINPEAT_S1</v>
      </c>
      <c r="E44" s="179" t="str">
        <f>CONVENTIONS!F39</f>
        <v>Domestic Potential of Peat  - Step 1</v>
      </c>
      <c r="F44" s="186" t="s">
        <v>10</v>
      </c>
      <c r="G44" s="167" t="s">
        <v>152</v>
      </c>
      <c r="H44" s="184"/>
      <c r="I44" s="188"/>
      <c r="J44" s="184"/>
    </row>
    <row r="45" spans="2:10">
      <c r="B45" s="179" t="str">
        <f>CONVENTIONS!K40</f>
        <v>MIN</v>
      </c>
      <c r="C45" s="179" t="str">
        <f>_xlfn.TEXTJOIN(",",TRUE,IF(LEFT(Regions!$C$3,1)&lt;&gt;"*",Regions!$C$3,""),IF(LEFT(Regions!$D$3,1)&lt;&gt;"*",Regions!$D$3,""))</f>
        <v>IE,National</v>
      </c>
      <c r="D45" s="179" t="str">
        <f>CONVENTIONS!E40</f>
        <v>MINPEAT_S2</v>
      </c>
      <c r="E45" s="179" t="str">
        <f>CONVENTIONS!F40</f>
        <v>Domestic Potential of Peat  - Step 2</v>
      </c>
      <c r="F45" s="186" t="s">
        <v>10</v>
      </c>
      <c r="G45" s="167" t="s">
        <v>152</v>
      </c>
      <c r="H45" s="184"/>
      <c r="I45" s="188"/>
      <c r="J45" s="184"/>
    </row>
    <row r="46" spans="2:10">
      <c r="B46" s="179" t="str">
        <f>CONVENTIONS!K41</f>
        <v>MIN</v>
      </c>
      <c r="C46" s="179" t="str">
        <f>_xlfn.TEXTJOIN(",",TRUE,IF(LEFT(Regions!$C$3,1)&lt;&gt;"*",Regions!$C$3,""),IF(LEFT(Regions!$D$3,1)&lt;&gt;"*",Regions!$D$3,""))</f>
        <v>IE,National</v>
      </c>
      <c r="D46" s="179" t="str">
        <f>CONVENTIONS!E41</f>
        <v>MINRENHYD</v>
      </c>
      <c r="E46" s="179" t="str">
        <f>CONVENTIONS!F41</f>
        <v xml:space="preserve">Domestic Potential of Hydro </v>
      </c>
      <c r="F46" s="186" t="s">
        <v>10</v>
      </c>
      <c r="G46" s="167" t="s">
        <v>152</v>
      </c>
      <c r="H46" s="184"/>
      <c r="I46" s="188"/>
      <c r="J46" s="184"/>
    </row>
    <row r="47" spans="2:10">
      <c r="B47" s="179" t="str">
        <f>CONVENTIONS!K42</f>
        <v>MIN</v>
      </c>
      <c r="C47" s="179" t="str">
        <f>_xlfn.TEXTJOIN(",",TRUE,IF(LEFT(Regions!$C$3,1)&lt;&gt;"*",Regions!$C$3,""),IF(LEFT(Regions!$D$3,1)&lt;&gt;"*",Regions!$D$3,""))</f>
        <v>IE,National</v>
      </c>
      <c r="D47" s="179" t="str">
        <f>CONVENTIONS!E42</f>
        <v>MINRENWIN</v>
      </c>
      <c r="E47" s="179" t="str">
        <f>CONVENTIONS!F42</f>
        <v xml:space="preserve">Domestic Potential of Wind </v>
      </c>
      <c r="F47" s="186" t="s">
        <v>10</v>
      </c>
      <c r="G47" s="167" t="s">
        <v>152</v>
      </c>
      <c r="H47" s="184"/>
      <c r="I47" s="188"/>
      <c r="J47" s="184"/>
    </row>
    <row r="48" spans="2:10">
      <c r="B48" s="179" t="str">
        <f>CONVENTIONS!K43</f>
        <v>MIN</v>
      </c>
      <c r="C48" s="179" t="str">
        <f>_xlfn.TEXTJOIN(",",TRUE,IF(LEFT(Regions!$C$3,1)&lt;&gt;"*",Regions!$C$3,""),IF(LEFT(Regions!$D$3,1)&lt;&gt;"*",Regions!$D$3,""))</f>
        <v>IE,National</v>
      </c>
      <c r="D48" s="179" t="str">
        <f>CONVENTIONS!E43</f>
        <v>MINRENSOL</v>
      </c>
      <c r="E48" s="179" t="str">
        <f>CONVENTIONS!F43</f>
        <v xml:space="preserve">Domestic Potential of Solar </v>
      </c>
      <c r="F48" s="184" t="s">
        <v>10</v>
      </c>
      <c r="G48" s="167" t="s">
        <v>152</v>
      </c>
      <c r="H48" s="184"/>
      <c r="I48" s="188"/>
      <c r="J48" s="184"/>
    </row>
    <row r="49" spans="2:20">
      <c r="B49" s="179" t="str">
        <f>CONVENTIONS!K44</f>
        <v>MIN</v>
      </c>
      <c r="C49" s="179" t="str">
        <f>_xlfn.TEXTJOIN(",",TRUE,IF(LEFT(Regions!$C$3,1)&lt;&gt;"*",Regions!$C$3,""),IF(LEFT(Regions!$D$3,1)&lt;&gt;"*",Regions!$D$3,""))</f>
        <v>IE,National</v>
      </c>
      <c r="D49" s="179" t="str">
        <f>CONVENTIONS!E44</f>
        <v>MINMSWAS</v>
      </c>
      <c r="E49" s="179" t="str">
        <f>CONVENTIONS!F44</f>
        <v xml:space="preserve">Domestic Potential of Municipal Solid Waste </v>
      </c>
      <c r="F49" s="186" t="s">
        <v>10</v>
      </c>
      <c r="G49" s="167" t="s">
        <v>152</v>
      </c>
      <c r="H49" s="184"/>
      <c r="I49" s="188"/>
      <c r="J49" s="184"/>
    </row>
    <row r="50" spans="2:20">
      <c r="B50" s="179" t="str">
        <f>CONVENTIONS!K45</f>
        <v>MIN</v>
      </c>
      <c r="C50" s="179" t="str">
        <f>_xlfn.TEXTJOIN(",",TRUE,IF(LEFT(Regions!$C$3,1)&lt;&gt;"*",Regions!$C$3,""),IF(LEFT(Regions!$D$3,1)&lt;&gt;"*",Regions!$D$3,""))</f>
        <v>IE,National</v>
      </c>
      <c r="D50" s="179" t="str">
        <f>CONVENTIONS!E45</f>
        <v>MINRENOCE</v>
      </c>
      <c r="E50" s="179" t="str">
        <f>CONVENTIONS!F45</f>
        <v xml:space="preserve">Domestic Potential of Ocean </v>
      </c>
      <c r="F50" s="186" t="s">
        <v>10</v>
      </c>
      <c r="G50" s="167" t="s">
        <v>152</v>
      </c>
      <c r="H50" s="184"/>
      <c r="I50" s="188"/>
      <c r="J50" s="184"/>
    </row>
    <row r="51" spans="2:20">
      <c r="B51" s="179" t="str">
        <f>CONVENTIONS!K46</f>
        <v>MIN</v>
      </c>
      <c r="C51" s="179" t="str">
        <f>_xlfn.TEXTJOIN(",",TRUE,IF(LEFT(Regions!$C$3,1)&lt;&gt;"*",Regions!$C$3,""),IF(LEFT(Regions!$D$3,1)&lt;&gt;"*",Regions!$D$3,""))</f>
        <v>IE,National</v>
      </c>
      <c r="D51" s="179" t="str">
        <f>CONVENTIONS!E46</f>
        <v>MINRENAHT</v>
      </c>
      <c r="E51" s="179" t="str">
        <f>CONVENTIONS!F46</f>
        <v>Domestic Potential of Ambient Heat</v>
      </c>
      <c r="F51" s="186" t="s">
        <v>10</v>
      </c>
      <c r="G51" s="167" t="s">
        <v>152</v>
      </c>
      <c r="H51" s="184"/>
      <c r="I51" s="188"/>
      <c r="J51" s="184"/>
    </row>
    <row r="52" spans="2:20">
      <c r="B52" s="179" t="str">
        <f>CONVENTIONS!K47</f>
        <v>MIN</v>
      </c>
      <c r="C52" s="179" t="str">
        <f>_xlfn.TEXTJOIN(",",TRUE,IF(LEFT(Regions!$C$3,1)&lt;&gt;"*",Regions!$C$3,""),IF(LEFT(Regions!$D$3,1)&lt;&gt;"*",Regions!$D$3,""))</f>
        <v>IE,National</v>
      </c>
      <c r="D52" s="179" t="str">
        <f>CONVENTIONS!E47</f>
        <v>MINBIOWOO1_S1</v>
      </c>
      <c r="E52" s="179" t="str">
        <f>CONVENTIONS!F47</f>
        <v>Domestic Potential of Sawmill residues - Step 1</v>
      </c>
      <c r="F52" s="186" t="s">
        <v>10</v>
      </c>
      <c r="G52" s="167" t="s">
        <v>152</v>
      </c>
      <c r="H52" s="167"/>
      <c r="I52" s="167"/>
      <c r="J52" s="167"/>
      <c r="M52" s="21"/>
      <c r="Q52" s="21"/>
      <c r="R52" s="21"/>
      <c r="S52" s="21"/>
      <c r="T52" s="21"/>
    </row>
    <row r="53" spans="2:20">
      <c r="B53" s="179" t="str">
        <f>CONVENTIONS!K48</f>
        <v>MIN</v>
      </c>
      <c r="C53" s="179" t="str">
        <f>_xlfn.TEXTJOIN(",",TRUE,IF(LEFT(Regions!$C$3,1)&lt;&gt;"*",Regions!$C$3,""),IF(LEFT(Regions!$D$3,1)&lt;&gt;"*",Regions!$D$3,""))</f>
        <v>IE,National</v>
      </c>
      <c r="D53" s="179" t="str">
        <f>CONVENTIONS!E48</f>
        <v>MINBIOWOO1_S2</v>
      </c>
      <c r="E53" s="179" t="str">
        <f>CONVENTIONS!F48</f>
        <v>Domestic Potential of Sawmill residues - Step 2</v>
      </c>
      <c r="F53" s="186" t="s">
        <v>10</v>
      </c>
      <c r="G53" s="167" t="s">
        <v>152</v>
      </c>
      <c r="H53" s="167"/>
      <c r="I53" s="167"/>
      <c r="J53" s="167"/>
      <c r="M53" s="22"/>
      <c r="Q53" s="21"/>
      <c r="R53" s="21"/>
      <c r="S53" s="21"/>
      <c r="T53" s="21"/>
    </row>
    <row r="54" spans="2:20">
      <c r="B54" s="179" t="str">
        <f>CONVENTIONS!K49</f>
        <v>MIN</v>
      </c>
      <c r="C54" s="179" t="str">
        <f>_xlfn.TEXTJOIN(",",TRUE,IF(LEFT(Regions!$C$3,1)&lt;&gt;"*",Regions!$C$3,""),IF(LEFT(Regions!$D$3,1)&lt;&gt;"*",Regions!$D$3,""))</f>
        <v>IE,National</v>
      </c>
      <c r="D54" s="179" t="str">
        <f>CONVENTIONS!E49</f>
        <v>MINBIOWOO1_S3</v>
      </c>
      <c r="E54" s="179" t="str">
        <f>CONVENTIONS!F49</f>
        <v>Domestic Potential of Sawmill residues - Step 3</v>
      </c>
      <c r="F54" s="186" t="s">
        <v>10</v>
      </c>
      <c r="G54" s="167" t="s">
        <v>152</v>
      </c>
      <c r="H54" s="167"/>
      <c r="I54" s="167"/>
      <c r="J54" s="167"/>
      <c r="M54" s="22"/>
      <c r="Q54" s="21"/>
      <c r="R54" s="21"/>
      <c r="S54" s="21"/>
      <c r="T54" s="21"/>
    </row>
    <row r="55" spans="2:20">
      <c r="B55" s="179" t="str">
        <f>CONVENTIONS!K50</f>
        <v>MIN</v>
      </c>
      <c r="C55" s="179" t="str">
        <f>_xlfn.TEXTJOIN(",",TRUE,IF(LEFT(Regions!$C$3,1)&lt;&gt;"*",Regions!$C$3,""),IF(LEFT(Regions!$D$3,1)&lt;&gt;"*",Regions!$D$3,""))</f>
        <v>IE,National</v>
      </c>
      <c r="D55" s="179" t="str">
        <f>CONVENTIONS!E50</f>
        <v>MINBIOWOO2_S1</v>
      </c>
      <c r="E55" s="179" t="str">
        <f>CONVENTIONS!F50</f>
        <v>Domestic Potential of Post-Consumer Recycled Wood - Step 1</v>
      </c>
      <c r="F55" s="186" t="s">
        <v>10</v>
      </c>
      <c r="G55" s="167" t="s">
        <v>152</v>
      </c>
      <c r="H55" s="167"/>
      <c r="I55" s="167"/>
      <c r="J55" s="167"/>
      <c r="M55" s="21"/>
      <c r="Q55" s="21"/>
      <c r="R55" s="21"/>
      <c r="S55" s="21"/>
      <c r="T55" s="21"/>
    </row>
    <row r="56" spans="2:20">
      <c r="B56" s="179" t="str">
        <f>CONVENTIONS!K51</f>
        <v>MIN</v>
      </c>
      <c r="C56" s="179" t="str">
        <f>_xlfn.TEXTJOIN(",",TRUE,IF(LEFT(Regions!$C$3,1)&lt;&gt;"*",Regions!$C$3,""),IF(LEFT(Regions!$D$3,1)&lt;&gt;"*",Regions!$D$3,""))</f>
        <v>IE,National</v>
      </c>
      <c r="D56" s="179" t="str">
        <f>CONVENTIONS!E51</f>
        <v>MINBIOWOO2_S2</v>
      </c>
      <c r="E56" s="179" t="str">
        <f>CONVENTIONS!F51</f>
        <v>Domestic Potential of Post-Consumer Recycled Wood - Step 2</v>
      </c>
      <c r="F56" s="186" t="s">
        <v>10</v>
      </c>
      <c r="G56" s="167" t="s">
        <v>152</v>
      </c>
      <c r="H56" s="167"/>
      <c r="I56" s="167"/>
      <c r="J56" s="167"/>
    </row>
    <row r="57" spans="2:20">
      <c r="B57" s="179" t="str">
        <f>CONVENTIONS!K52</f>
        <v>MIN</v>
      </c>
      <c r="C57" s="179" t="str">
        <f>_xlfn.TEXTJOIN(",",TRUE,IF(LEFT(Regions!$C$3,1)&lt;&gt;"*",Regions!$C$3,""),IF(LEFT(Regions!$D$3,1)&lt;&gt;"*",Regions!$D$3,""))</f>
        <v>IE,National</v>
      </c>
      <c r="D57" s="179" t="str">
        <f>CONVENTIONS!E52</f>
        <v>MINBIOWOO2_S3</v>
      </c>
      <c r="E57" s="179" t="str">
        <f>CONVENTIONS!F52</f>
        <v>Domestic Potential of Post-Consumer Recycled Wood - Step 3</v>
      </c>
      <c r="F57" s="186" t="s">
        <v>10</v>
      </c>
      <c r="G57" s="167" t="s">
        <v>152</v>
      </c>
      <c r="H57" s="167"/>
      <c r="I57" s="167"/>
      <c r="J57" s="167"/>
    </row>
    <row r="58" spans="2:20">
      <c r="B58" s="179" t="str">
        <f>CONVENTIONS!K53</f>
        <v>MIN</v>
      </c>
      <c r="C58" s="179" t="str">
        <f>_xlfn.TEXTJOIN(",",TRUE,IF(LEFT(Regions!$C$3,1)&lt;&gt;"*",Regions!$C$3,""),IF(LEFT(Regions!$D$3,1)&lt;&gt;"*",Regions!$D$3,""))</f>
        <v>IE,National</v>
      </c>
      <c r="D58" s="179" t="str">
        <f>CONVENTIONS!E53</f>
        <v>MINBIOWOO3_S1</v>
      </c>
      <c r="E58" s="179" t="str">
        <f>CONVENTIONS!F53</f>
        <v>Domestic Potential of Straw - Step 1</v>
      </c>
      <c r="F58" s="186" t="s">
        <v>10</v>
      </c>
      <c r="G58" s="167" t="s">
        <v>152</v>
      </c>
      <c r="H58" s="167"/>
      <c r="I58" s="167"/>
      <c r="J58" s="167"/>
    </row>
    <row r="59" spans="2:20">
      <c r="B59" s="179" t="str">
        <f>CONVENTIONS!K54</f>
        <v>MIN</v>
      </c>
      <c r="C59" s="179" t="str">
        <f>_xlfn.TEXTJOIN(",",TRUE,IF(LEFT(Regions!$C$3,1)&lt;&gt;"*",Regions!$C$3,""),IF(LEFT(Regions!$D$3,1)&lt;&gt;"*",Regions!$D$3,""))</f>
        <v>IE,National</v>
      </c>
      <c r="D59" s="179" t="str">
        <f>CONVENTIONS!E54</f>
        <v>MINBIOWOO3_S2</v>
      </c>
      <c r="E59" s="179" t="str">
        <f>CONVENTIONS!F54</f>
        <v>Domestic Potential of Straw - Step 2</v>
      </c>
      <c r="F59" s="186" t="s">
        <v>10</v>
      </c>
      <c r="G59" s="167" t="s">
        <v>152</v>
      </c>
      <c r="H59" s="167"/>
      <c r="I59" s="167"/>
      <c r="J59" s="167"/>
    </row>
    <row r="60" spans="2:20">
      <c r="B60" s="179" t="str">
        <f>CONVENTIONS!K55</f>
        <v>MIN</v>
      </c>
      <c r="C60" s="179" t="str">
        <f>_xlfn.TEXTJOIN(",",TRUE,IF(LEFT(Regions!$C$3,1)&lt;&gt;"*",Regions!$C$3,""),IF(LEFT(Regions!$D$3,1)&lt;&gt;"*",Regions!$D$3,""))</f>
        <v>IE,National</v>
      </c>
      <c r="D60" s="179" t="str">
        <f>CONVENTIONS!E55</f>
        <v>MINBIOWOO3_S3</v>
      </c>
      <c r="E60" s="179" t="str">
        <f>CONVENTIONS!F55</f>
        <v>Domestic Potential of Straw - Step 3</v>
      </c>
      <c r="F60" s="186" t="s">
        <v>10</v>
      </c>
      <c r="G60" s="167" t="s">
        <v>152</v>
      </c>
      <c r="H60" s="167"/>
      <c r="I60" s="167"/>
      <c r="J60" s="167"/>
    </row>
    <row r="61" spans="2:20">
      <c r="B61" s="179" t="str">
        <f>CONVENTIONS!K56</f>
        <v>MIN</v>
      </c>
      <c r="C61" s="179" t="str">
        <f>_xlfn.TEXTJOIN(",",TRUE,IF(LEFT(Regions!$C$3,1)&lt;&gt;"*",Regions!$C$3,""),IF(LEFT(Regions!$D$3,1)&lt;&gt;"*",Regions!$D$3,""))</f>
        <v>IE,National</v>
      </c>
      <c r="D61" s="179" t="str">
        <f>CONVENTIONS!E56</f>
        <v>MINBIOMSW1_S1</v>
      </c>
      <c r="E61" s="179" t="str">
        <f>CONVENTIONS!F56</f>
        <v>Domestic Potential of Biodegradable Municipal Solid Waste potential - Solid  - Step 1</v>
      </c>
      <c r="F61" s="186" t="s">
        <v>10</v>
      </c>
      <c r="G61" s="167" t="s">
        <v>152</v>
      </c>
      <c r="H61" s="167"/>
      <c r="I61" s="167"/>
      <c r="J61" s="167"/>
    </row>
    <row r="62" spans="2:20">
      <c r="B62" s="179" t="str">
        <f>CONVENTIONS!K57</f>
        <v>MIN</v>
      </c>
      <c r="C62" s="179" t="str">
        <f>_xlfn.TEXTJOIN(",",TRUE,IF(LEFT(Regions!$C$3,1)&lt;&gt;"*",Regions!$C$3,""),IF(LEFT(Regions!$D$3,1)&lt;&gt;"*",Regions!$D$3,""))</f>
        <v>IE,National</v>
      </c>
      <c r="D62" s="179" t="str">
        <f>CONVENTIONS!E57</f>
        <v>MINBIOMSW1_S2</v>
      </c>
      <c r="E62" s="179" t="str">
        <f>CONVENTIONS!F57</f>
        <v>Domestic Potential of Biodegradable Municipal Solid Waste potential - Solid  - Step 2</v>
      </c>
      <c r="F62" s="186" t="s">
        <v>10</v>
      </c>
      <c r="G62" s="167" t="s">
        <v>152</v>
      </c>
      <c r="H62" s="167"/>
      <c r="I62" s="167"/>
      <c r="J62" s="167"/>
    </row>
    <row r="63" spans="2:20">
      <c r="B63" s="179" t="str">
        <f>CONVENTIONS!K58</f>
        <v>MIN</v>
      </c>
      <c r="C63" s="179" t="str">
        <f>_xlfn.TEXTJOIN(",",TRUE,IF(LEFT(Regions!$C$3,1)&lt;&gt;"*",Regions!$C$3,""),IF(LEFT(Regions!$D$3,1)&lt;&gt;"*",Regions!$D$3,""))</f>
        <v>IE,National</v>
      </c>
      <c r="D63" s="179" t="str">
        <f>CONVENTIONS!E58</f>
        <v>MINBIOMSW1_S3</v>
      </c>
      <c r="E63" s="179" t="str">
        <f>CONVENTIONS!F58</f>
        <v>Domestic Potential of Biodegradable Municipal Solid Waste potential - Solid  - Step 3</v>
      </c>
      <c r="F63" s="186" t="s">
        <v>10</v>
      </c>
      <c r="G63" s="167" t="s">
        <v>152</v>
      </c>
      <c r="H63" s="167"/>
      <c r="I63" s="167"/>
      <c r="J63" s="167"/>
    </row>
    <row r="64" spans="2:20">
      <c r="B64" s="179" t="str">
        <f>CONVENTIONS!K59</f>
        <v>MIN</v>
      </c>
      <c r="C64" s="179" t="str">
        <f>_xlfn.TEXTJOIN(",",TRUE,IF(LEFT(Regions!$C$3,1)&lt;&gt;"*",Regions!$C$3,""),IF(LEFT(Regions!$D$3,1)&lt;&gt;"*",Regions!$D$3,""))</f>
        <v>IE,National</v>
      </c>
      <c r="D64" s="179" t="str">
        <f>CONVENTIONS!E59</f>
        <v>MINBIOMSW2_S1</v>
      </c>
      <c r="E64" s="179" t="str">
        <f>CONVENTIONS!F59</f>
        <v>Domestic Potential of Biodegradable Municipal Solid Waste  - Step 1</v>
      </c>
      <c r="F64" s="186" t="s">
        <v>10</v>
      </c>
      <c r="G64" s="167" t="s">
        <v>152</v>
      </c>
      <c r="H64" s="167"/>
      <c r="I64" s="167"/>
      <c r="J64" s="167"/>
    </row>
    <row r="65" spans="2:10">
      <c r="B65" s="179" t="str">
        <f>CONVENTIONS!K60</f>
        <v>MIN</v>
      </c>
      <c r="C65" s="179" t="str">
        <f>_xlfn.TEXTJOIN(",",TRUE,IF(LEFT(Regions!$C$3,1)&lt;&gt;"*",Regions!$C$3,""),IF(LEFT(Regions!$D$3,1)&lt;&gt;"*",Regions!$D$3,""))</f>
        <v>IE,National</v>
      </c>
      <c r="D65" s="179" t="str">
        <f>CONVENTIONS!E60</f>
        <v>MINBIOMSW2_S2</v>
      </c>
      <c r="E65" s="179" t="str">
        <f>CONVENTIONS!F60</f>
        <v>Domestic Potential of Biodegradable Municipal Solid Waste  - Step 2</v>
      </c>
      <c r="F65" s="186" t="s">
        <v>10</v>
      </c>
      <c r="G65" s="167" t="s">
        <v>152</v>
      </c>
      <c r="H65" s="167"/>
      <c r="I65" s="167"/>
      <c r="J65" s="167"/>
    </row>
    <row r="66" spans="2:10">
      <c r="B66" s="179" t="str">
        <f>CONVENTIONS!K61</f>
        <v>MIN</v>
      </c>
      <c r="C66" s="179" t="str">
        <f>_xlfn.TEXTJOIN(",",TRUE,IF(LEFT(Regions!$C$3,1)&lt;&gt;"*",Regions!$C$3,""),IF(LEFT(Regions!$D$3,1)&lt;&gt;"*",Regions!$D$3,""))</f>
        <v>IE,National</v>
      </c>
      <c r="D66" s="179" t="str">
        <f>CONVENTIONS!E61</f>
        <v>MINBIOMSW2_S3</v>
      </c>
      <c r="E66" s="179" t="str">
        <f>CONVENTIONS!F61</f>
        <v>Domestic Potential of Biodegradable Municipal Solid Waste  - Step 3</v>
      </c>
      <c r="F66" s="186" t="s">
        <v>10</v>
      </c>
      <c r="G66" s="167" t="s">
        <v>152</v>
      </c>
      <c r="H66" s="167"/>
      <c r="I66" s="167"/>
      <c r="J66" s="167"/>
    </row>
    <row r="67" spans="2:10">
      <c r="B67" s="179" t="str">
        <f>CONVENTIONS!K62</f>
        <v>MIN</v>
      </c>
      <c r="C67" s="179" t="str">
        <f>_xlfn.TEXTJOIN(",",TRUE,IF(LEFT(Regions!$C$3,1)&lt;&gt;"*",Regions!$C$3,""),IF(LEFT(Regions!$D$3,1)&lt;&gt;"*",Regions!$D$3,""))</f>
        <v>IE,National</v>
      </c>
      <c r="D67" s="179" t="str">
        <f>CONVENTIONS!E62</f>
        <v>MINBIOTLW_S1</v>
      </c>
      <c r="E67" s="179" t="str">
        <f>CONVENTIONS!F62</f>
        <v>Domestic Potential of Tallow  - Step 1</v>
      </c>
      <c r="F67" s="186" t="s">
        <v>10</v>
      </c>
      <c r="G67" s="167" t="s">
        <v>152</v>
      </c>
      <c r="H67" s="167"/>
      <c r="I67" s="167"/>
      <c r="J67" s="167"/>
    </row>
    <row r="68" spans="2:10">
      <c r="B68" s="179" t="str">
        <f>CONVENTIONS!K63</f>
        <v>MIN</v>
      </c>
      <c r="C68" s="179" t="str">
        <f>_xlfn.TEXTJOIN(",",TRUE,IF(LEFT(Regions!$C$3,1)&lt;&gt;"*",Regions!$C$3,""),IF(LEFT(Regions!$D$3,1)&lt;&gt;"*",Regions!$D$3,""))</f>
        <v>IE,National</v>
      </c>
      <c r="D68" s="179" t="str">
        <f>CONVENTIONS!E63</f>
        <v>MINBIOTLW_S2</v>
      </c>
      <c r="E68" s="179" t="str">
        <f>CONVENTIONS!F63</f>
        <v>Domestic Potential of Tallow  - Step 2</v>
      </c>
      <c r="F68" s="186" t="s">
        <v>10</v>
      </c>
      <c r="G68" s="167" t="s">
        <v>152</v>
      </c>
      <c r="H68" s="167"/>
      <c r="I68" s="167"/>
      <c r="J68" s="167"/>
    </row>
    <row r="69" spans="2:10">
      <c r="B69" s="179" t="str">
        <f>CONVENTIONS!K64</f>
        <v>MIN</v>
      </c>
      <c r="C69" s="179" t="str">
        <f>_xlfn.TEXTJOIN(",",TRUE,IF(LEFT(Regions!$C$3,1)&lt;&gt;"*",Regions!$C$3,""),IF(LEFT(Regions!$D$3,1)&lt;&gt;"*",Regions!$D$3,""))</f>
        <v>IE,National</v>
      </c>
      <c r="D69" s="179" t="str">
        <f>CONVENTIONS!E64</f>
        <v>MINBIOTLW_S3</v>
      </c>
      <c r="E69" s="179" t="str">
        <f>CONVENTIONS!F64</f>
        <v>Domestic Potential of Tallow  - Step 3</v>
      </c>
      <c r="F69" s="186" t="s">
        <v>10</v>
      </c>
      <c r="G69" s="167" t="s">
        <v>152</v>
      </c>
      <c r="H69" s="167"/>
      <c r="I69" s="167"/>
      <c r="J69" s="167"/>
    </row>
    <row r="70" spans="2:10">
      <c r="B70" s="179" t="str">
        <f>CONVENTIONS!K65</f>
        <v>MIN</v>
      </c>
      <c r="C70" s="179" t="str">
        <f>_xlfn.TEXTJOIN(",",TRUE,IF(LEFT(Regions!$C$3,1)&lt;&gt;"*",Regions!$C$3,""),IF(LEFT(Regions!$D$3,1)&lt;&gt;"*",Regions!$D$3,""))</f>
        <v>IE,National</v>
      </c>
      <c r="D70" s="179" t="str">
        <f>CONVENTIONS!E65</f>
        <v>MINBIORVO_S1</v>
      </c>
      <c r="E70" s="179" t="str">
        <f>CONVENTIONS!F65</f>
        <v>Domestic Potential of Recovered Vegetable Oil  - Step 1</v>
      </c>
      <c r="F70" s="186" t="s">
        <v>10</v>
      </c>
      <c r="G70" s="167" t="s">
        <v>152</v>
      </c>
      <c r="H70" s="167"/>
      <c r="I70" s="167"/>
      <c r="J70" s="167"/>
    </row>
    <row r="71" spans="2:10">
      <c r="B71" s="179" t="str">
        <f>CONVENTIONS!K66</f>
        <v>MIN</v>
      </c>
      <c r="C71" s="179" t="str">
        <f>_xlfn.TEXTJOIN(",",TRUE,IF(LEFT(Regions!$C$3,1)&lt;&gt;"*",Regions!$C$3,""),IF(LEFT(Regions!$D$3,1)&lt;&gt;"*",Regions!$D$3,""))</f>
        <v>IE,National</v>
      </c>
      <c r="D71" s="179" t="str">
        <f>CONVENTIONS!E66</f>
        <v>MINBIORVO_S2</v>
      </c>
      <c r="E71" s="179" t="str">
        <f>CONVENTIONS!F66</f>
        <v>Domestic Potential of Recovered Vegetable Oil  - Step 2</v>
      </c>
      <c r="F71" s="186" t="s">
        <v>10</v>
      </c>
      <c r="G71" s="167" t="s">
        <v>152</v>
      </c>
      <c r="H71" s="167"/>
      <c r="I71" s="167"/>
      <c r="J71" s="167"/>
    </row>
    <row r="72" spans="2:10">
      <c r="B72" s="179" t="str">
        <f>CONVENTIONS!K67</f>
        <v>MIN</v>
      </c>
      <c r="C72" s="179" t="str">
        <f>_xlfn.TEXTJOIN(",",TRUE,IF(LEFT(Regions!$C$3,1)&lt;&gt;"*",Regions!$C$3,""),IF(LEFT(Regions!$D$3,1)&lt;&gt;"*",Regions!$D$3,""))</f>
        <v>IE,National</v>
      </c>
      <c r="D72" s="179" t="str">
        <f>CONVENTIONS!E67</f>
        <v>MINBIORVO_S3</v>
      </c>
      <c r="E72" s="179" t="str">
        <f>CONVENTIONS!F67</f>
        <v>Domestic Potential of Recovered Vegetable Oil  - Step 3</v>
      </c>
      <c r="F72" s="186" t="s">
        <v>10</v>
      </c>
      <c r="G72" s="167" t="s">
        <v>152</v>
      </c>
      <c r="H72" s="167"/>
      <c r="I72" s="167"/>
      <c r="J72" s="167"/>
    </row>
    <row r="73" spans="2:10">
      <c r="B73" s="179" t="str">
        <f>CONVENTIONS!K68</f>
        <v>MIN</v>
      </c>
      <c r="C73" s="179" t="str">
        <f>_xlfn.TEXTJOIN(",",TRUE,IF(LEFT(Regions!$C$3,1)&lt;&gt;"*",Regions!$C$3,""),IF(LEFT(Regions!$D$3,1)&lt;&gt;"*",Regions!$D$3,""))</f>
        <v>IE,National</v>
      </c>
      <c r="D73" s="179" t="str">
        <f>CONVENTIONS!E68</f>
        <v>MINBIOCATW_S1</v>
      </c>
      <c r="E73" s="179" t="str">
        <f>CONVENTIONS!F68</f>
        <v>Domestic Potential of Cattle Waste  - Step 1</v>
      </c>
      <c r="F73" s="186" t="s">
        <v>10</v>
      </c>
      <c r="G73" s="167" t="s">
        <v>152</v>
      </c>
      <c r="H73" s="167"/>
      <c r="I73" s="167"/>
      <c r="J73" s="167"/>
    </row>
    <row r="74" spans="2:10">
      <c r="B74" s="179" t="str">
        <f>CONVENTIONS!K69</f>
        <v>MIN</v>
      </c>
      <c r="C74" s="179" t="str">
        <f>_xlfn.TEXTJOIN(",",TRUE,IF(LEFT(Regions!$C$3,1)&lt;&gt;"*",Regions!$C$3,""),IF(LEFT(Regions!$D$3,1)&lt;&gt;"*",Regions!$D$3,""))</f>
        <v>IE,National</v>
      </c>
      <c r="D74" s="179" t="str">
        <f>CONVENTIONS!E69</f>
        <v>MINBIOCATW_S2</v>
      </c>
      <c r="E74" s="179" t="str">
        <f>CONVENTIONS!F69</f>
        <v>Domestic Potential of Cattle Waste  - Step 2</v>
      </c>
      <c r="F74" s="186" t="s">
        <v>10</v>
      </c>
      <c r="G74" s="167" t="s">
        <v>152</v>
      </c>
      <c r="H74" s="167"/>
      <c r="I74" s="167"/>
      <c r="J74" s="167"/>
    </row>
    <row r="75" spans="2:10">
      <c r="B75" s="179" t="str">
        <f>CONVENTIONS!K70</f>
        <v>MIN</v>
      </c>
      <c r="C75" s="179" t="str">
        <f>_xlfn.TEXTJOIN(",",TRUE,IF(LEFT(Regions!$C$3,1)&lt;&gt;"*",Regions!$C$3,""),IF(LEFT(Regions!$D$3,1)&lt;&gt;"*",Regions!$D$3,""))</f>
        <v>IE,National</v>
      </c>
      <c r="D75" s="179" t="str">
        <f>CONVENTIONS!E70</f>
        <v>MINBIOCATW_S3</v>
      </c>
      <c r="E75" s="179" t="str">
        <f>CONVENTIONS!F70</f>
        <v>Domestic Potential of Cattle Waste  - Step 3</v>
      </c>
      <c r="F75" s="186" t="s">
        <v>10</v>
      </c>
      <c r="G75" s="167" t="s">
        <v>152</v>
      </c>
      <c r="H75" s="167"/>
      <c r="I75" s="167"/>
      <c r="J75" s="167"/>
    </row>
    <row r="76" spans="2:10">
      <c r="B76" s="179" t="str">
        <f>CONVENTIONS!K71</f>
        <v>MIN</v>
      </c>
      <c r="C76" s="179" t="str">
        <f>_xlfn.TEXTJOIN(",",TRUE,IF(LEFT(Regions!$C$3,1)&lt;&gt;"*",Regions!$C$3,""),IF(LEFT(Regions!$D$3,1)&lt;&gt;"*",Regions!$D$3,""))</f>
        <v>IE,National</v>
      </c>
      <c r="D76" s="179" t="str">
        <f>CONVENTIONS!E71</f>
        <v>MINBIOPIGW_S1</v>
      </c>
      <c r="E76" s="179" t="str">
        <f>CONVENTIONS!F71</f>
        <v>Domestic Potential of Pig Waste  - Step 1</v>
      </c>
      <c r="F76" s="186" t="s">
        <v>10</v>
      </c>
      <c r="G76" s="167" t="s">
        <v>152</v>
      </c>
      <c r="H76" s="167"/>
      <c r="I76" s="167"/>
      <c r="J76" s="167"/>
    </row>
    <row r="77" spans="2:10">
      <c r="B77" s="179" t="str">
        <f>CONVENTIONS!K72</f>
        <v>MIN</v>
      </c>
      <c r="C77" s="179" t="str">
        <f>_xlfn.TEXTJOIN(",",TRUE,IF(LEFT(Regions!$C$3,1)&lt;&gt;"*",Regions!$C$3,""),IF(LEFT(Regions!$D$3,1)&lt;&gt;"*",Regions!$D$3,""))</f>
        <v>IE,National</v>
      </c>
      <c r="D77" s="179" t="str">
        <f>CONVENTIONS!E72</f>
        <v>MINBIOPIGW_S2</v>
      </c>
      <c r="E77" s="179" t="str">
        <f>CONVENTIONS!F72</f>
        <v>Domestic Potential of Pig Waste  - Step 2</v>
      </c>
      <c r="F77" s="186" t="s">
        <v>10</v>
      </c>
      <c r="G77" s="167" t="s">
        <v>152</v>
      </c>
      <c r="H77" s="167"/>
      <c r="I77" s="167"/>
      <c r="J77" s="167"/>
    </row>
    <row r="78" spans="2:10">
      <c r="B78" s="179" t="str">
        <f>CONVENTIONS!K73</f>
        <v>MIN</v>
      </c>
      <c r="C78" s="179" t="str">
        <f>_xlfn.TEXTJOIN(",",TRUE,IF(LEFT(Regions!$C$3,1)&lt;&gt;"*",Regions!$C$3,""),IF(LEFT(Regions!$D$3,1)&lt;&gt;"*",Regions!$D$3,""))</f>
        <v>IE,National</v>
      </c>
      <c r="D78" s="179" t="str">
        <f>CONVENTIONS!E73</f>
        <v>MINBIOPIGW_S3</v>
      </c>
      <c r="E78" s="179" t="str">
        <f>CONVENTIONS!F73</f>
        <v>Domestic Potential of Pig Waste  - Step 3</v>
      </c>
      <c r="F78" s="186" t="s">
        <v>10</v>
      </c>
      <c r="G78" s="167" t="s">
        <v>152</v>
      </c>
      <c r="H78" s="167"/>
      <c r="I78" s="167"/>
      <c r="J78" s="167"/>
    </row>
    <row r="79" spans="2:10">
      <c r="B79" s="179" t="str">
        <f>CONVENTIONS!K74</f>
        <v>MIN</v>
      </c>
      <c r="C79" s="179" t="str">
        <f>_xlfn.TEXTJOIN(",",TRUE,IF(LEFT(Regions!$C$3,1)&lt;&gt;"*",Regions!$C$3,""),IF(LEFT(Regions!$D$3,1)&lt;&gt;"*",Regions!$D$3,""))</f>
        <v>IE,National</v>
      </c>
      <c r="D79" s="179" t="str">
        <f>CONVENTIONS!E74</f>
        <v>MINBIOINDF_S1</v>
      </c>
      <c r="E79" s="179" t="str">
        <f>CONVENTIONS!F74</f>
        <v>Domestic Potential of Industrial Food Waste  - Step 1</v>
      </c>
      <c r="F79" s="186" t="s">
        <v>10</v>
      </c>
      <c r="G79" s="167" t="s">
        <v>152</v>
      </c>
      <c r="H79" s="167"/>
      <c r="I79" s="167"/>
      <c r="J79" s="167"/>
    </row>
    <row r="80" spans="2:10">
      <c r="B80" s="179" t="str">
        <f>CONVENTIONS!K75</f>
        <v>MIN</v>
      </c>
      <c r="C80" s="179" t="str">
        <f>_xlfn.TEXTJOIN(",",TRUE,IF(LEFT(Regions!$C$3,1)&lt;&gt;"*",Regions!$C$3,""),IF(LEFT(Regions!$D$3,1)&lt;&gt;"*",Regions!$D$3,""))</f>
        <v>IE,National</v>
      </c>
      <c r="D80" s="179" t="str">
        <f>CONVENTIONS!E75</f>
        <v>MINBIOINDF_S2</v>
      </c>
      <c r="E80" s="179" t="str">
        <f>CONVENTIONS!F75</f>
        <v>Domestic Potential of Industrial Food Waste  - Step 2</v>
      </c>
      <c r="F80" s="186" t="s">
        <v>10</v>
      </c>
      <c r="G80" s="167" t="s">
        <v>152</v>
      </c>
      <c r="H80" s="167"/>
      <c r="I80" s="167"/>
      <c r="J80" s="167"/>
    </row>
    <row r="81" spans="2:10">
      <c r="B81" s="179" t="str">
        <f>CONVENTIONS!K76</f>
        <v>MIN</v>
      </c>
      <c r="C81" s="179" t="str">
        <f>_xlfn.TEXTJOIN(",",TRUE,IF(LEFT(Regions!$C$3,1)&lt;&gt;"*",Regions!$C$3,""),IF(LEFT(Regions!$D$3,1)&lt;&gt;"*",Regions!$D$3,""))</f>
        <v>IE,National</v>
      </c>
      <c r="D81" s="179" t="str">
        <f>CONVENTIONS!E76</f>
        <v>MINBIOINDF_S3</v>
      </c>
      <c r="E81" s="179" t="str">
        <f>CONVENTIONS!F76</f>
        <v>Domestic Potential of Industrial Food Waste  - Step 3</v>
      </c>
      <c r="F81" s="186" t="s">
        <v>10</v>
      </c>
      <c r="G81" s="167" t="s">
        <v>152</v>
      </c>
      <c r="H81" s="167"/>
      <c r="I81" s="167"/>
      <c r="J81" s="167"/>
    </row>
    <row r="82" spans="2:10">
      <c r="B82" s="179" t="str">
        <f>CONVENTIONS!K77</f>
        <v>MIN</v>
      </c>
      <c r="C82" s="179"/>
      <c r="D82" s="179" t="str">
        <f>CONVENTIONS!E77</f>
        <v>MINCYC</v>
      </c>
      <c r="E82" s="179" t="str">
        <f>CONVENTIONS!F77</f>
        <v>Domestic Potential of Cycling</v>
      </c>
      <c r="F82" s="186" t="s">
        <v>10</v>
      </c>
      <c r="G82" s="167" t="s">
        <v>152</v>
      </c>
      <c r="H82" s="167"/>
      <c r="I82" s="167"/>
      <c r="J82" s="167"/>
    </row>
    <row r="83" spans="2:10">
      <c r="B83" s="179" t="str">
        <f>CONVENTIONS!K78</f>
        <v>MIN</v>
      </c>
      <c r="C83" s="179"/>
      <c r="D83" s="179" t="str">
        <f>CONVENTIONS!E78</f>
        <v>MINWLK</v>
      </c>
      <c r="E83" s="179" t="str">
        <f>CONVENTIONS!F78</f>
        <v>Domestic Potential of Walking</v>
      </c>
      <c r="F83" s="186" t="s">
        <v>10</v>
      </c>
      <c r="G83" s="167" t="s">
        <v>152</v>
      </c>
      <c r="H83" s="167"/>
      <c r="I83" s="167"/>
      <c r="J83" s="167"/>
    </row>
    <row r="84" spans="2:10">
      <c r="B84" s="179" t="str">
        <f>CONVENTIONS!K79</f>
        <v>IMP</v>
      </c>
      <c r="C84" s="179" t="str">
        <f>_xlfn.TEXTJOIN(",",TRUE,IF(LEFT(Regions!$C$3,1)&lt;&gt;"*",Regions!$C$3,""),IF(LEFT(Regions!$D$3,1)&lt;&gt;"*",Regions!$D$3,""))</f>
        <v>IE,National</v>
      </c>
      <c r="D84" s="179" t="str">
        <f>CONVENTIONS!E79</f>
        <v>IMPELC_UK-EWIC</v>
      </c>
      <c r="E84" s="179" t="str">
        <f>CONVENTIONS!F79</f>
        <v>Import of Electricity - UK East-West Interconnector</v>
      </c>
      <c r="F84" s="186" t="s">
        <v>10</v>
      </c>
      <c r="G84" s="186" t="s">
        <v>621</v>
      </c>
      <c r="H84" s="167" t="s">
        <v>63</v>
      </c>
      <c r="I84" s="167"/>
      <c r="J84" s="167"/>
    </row>
    <row r="85" spans="2:10">
      <c r="B85" s="179" t="str">
        <f>CONVENTIONS!K80</f>
        <v>EXP</v>
      </c>
      <c r="C85" s="179" t="str">
        <f>_xlfn.TEXTJOIN(",",TRUE,IF(LEFT(Regions!$C$3,1)&lt;&gt;"*",Regions!$C$3,""),IF(LEFT(Regions!$D$3,1)&lt;&gt;"*",Regions!$D$3,""))</f>
        <v>IE,National</v>
      </c>
      <c r="D85" s="179" t="str">
        <f>CONVENTIONS!E80</f>
        <v>EXPELC_UK-EWIC</v>
      </c>
      <c r="E85" s="179" t="str">
        <f>CONVENTIONS!F80</f>
        <v>Export of Electricity - UK East-West Interconnector</v>
      </c>
      <c r="F85" s="186" t="s">
        <v>10</v>
      </c>
      <c r="G85" s="186" t="s">
        <v>621</v>
      </c>
      <c r="H85" s="167" t="s">
        <v>63</v>
      </c>
      <c r="I85" s="167"/>
      <c r="J85" s="167"/>
    </row>
    <row r="86" spans="2:10">
      <c r="B86" s="179" t="str">
        <f>CONVENTIONS!K81</f>
        <v>PRE</v>
      </c>
      <c r="C86" s="179" t="str">
        <f>_xlfn.TEXTJOIN(",",TRUE,IF(LEFT(Regions!$C$3,1)&lt;&gt;"*",Regions!$C$3,""),IF(LEFT(Regions!$D$3,1)&lt;&gt;"*",Regions!$D$3,""))</f>
        <v>IE,National</v>
      </c>
      <c r="D86" s="179" t="str">
        <f>CONVENTIONS!E81</f>
        <v>SREFOILCRD_Whitegate</v>
      </c>
      <c r="E86" s="179" t="str">
        <f>CONVENTIONS!F81</f>
        <v>Refinery of Crude Oil  - Whitegate</v>
      </c>
      <c r="F86" s="186" t="s">
        <v>10</v>
      </c>
      <c r="G86" s="167" t="s">
        <v>152</v>
      </c>
      <c r="H86" s="184"/>
      <c r="I86" s="188" t="str">
        <f>Commodities!C11</f>
        <v>OILCRD</v>
      </c>
      <c r="J86" s="184"/>
    </row>
    <row r="87" spans="2:10">
      <c r="B87" s="177" t="s">
        <v>356</v>
      </c>
      <c r="C87" s="177"/>
      <c r="D87" s="177"/>
      <c r="E87" s="178"/>
      <c r="F87" s="178"/>
      <c r="G87" s="178"/>
      <c r="H87" s="178"/>
      <c r="I87" s="178"/>
      <c r="J87" s="178"/>
    </row>
    <row r="88" spans="2:10">
      <c r="B88" s="179" t="str">
        <f>CONVENTIONS!K82</f>
        <v>PRE</v>
      </c>
      <c r="C88" s="179" t="str">
        <f>_xlfn.TEXTJOIN(",",TRUE,IF(LEFT(Regions!$C$3,1)&lt;&gt;"*",Regions!$C$3,""),IF(LEFT(Regions!$D$3,1)&lt;&gt;"*",Regions!$D$3,""))</f>
        <v>IE,National</v>
      </c>
      <c r="D88" s="179" t="str">
        <f>CONVENTIONS!E82</f>
        <v>FT-SUPNGA</v>
      </c>
      <c r="E88" s="179" t="str">
        <f>CONVENTIONS!F82</f>
        <v>Fuel Tech - Natural Gas (SUP)</v>
      </c>
      <c r="F88" s="160" t="s">
        <v>10</v>
      </c>
      <c r="G88" s="167" t="s">
        <v>152</v>
      </c>
      <c r="H88" s="184"/>
      <c r="I88" s="188"/>
      <c r="J88" s="184"/>
    </row>
    <row r="89" spans="2:10">
      <c r="B89" s="179" t="str">
        <f>CONVENTIONS!K83</f>
        <v>PRE</v>
      </c>
      <c r="C89" s="179" t="str">
        <f>_xlfn.TEXTJOIN(",",TRUE,IF(LEFT(Regions!$C$3,1)&lt;&gt;"*",Regions!$C$3,""),IF(LEFT(Regions!$D$3,1)&lt;&gt;"*",Regions!$D$3,""))</f>
        <v>IE,National</v>
      </c>
      <c r="D89" s="179" t="str">
        <f>CONVENTIONS!E83</f>
        <v>FT-SUPCOA</v>
      </c>
      <c r="E89" s="179" t="str">
        <f>CONVENTIONS!F83</f>
        <v>Fuel Tech - Coal (SUP)</v>
      </c>
      <c r="F89" s="191" t="s">
        <v>10</v>
      </c>
      <c r="G89" s="167" t="s">
        <v>152</v>
      </c>
      <c r="H89" s="180"/>
      <c r="I89" s="180"/>
      <c r="J89" s="180"/>
    </row>
    <row r="90" spans="2:10">
      <c r="B90" s="179" t="str">
        <f>CONVENTIONS!K84</f>
        <v>PRE</v>
      </c>
      <c r="C90" s="179" t="str">
        <f>_xlfn.TEXTJOIN(",",TRUE,IF(LEFT(Regions!$C$3,1)&lt;&gt;"*",Regions!$C$3,""),IF(LEFT(Regions!$D$3,1)&lt;&gt;"*",Regions!$D$3,""))</f>
        <v>IE,National</v>
      </c>
      <c r="D90" s="179" t="str">
        <f>CONVENTIONS!E84</f>
        <v>FT-SUPWAS</v>
      </c>
      <c r="E90" s="179" t="str">
        <f>CONVENTIONS!F84</f>
        <v>Fuel Tech - Waste (SUP)</v>
      </c>
      <c r="F90" s="191" t="s">
        <v>10</v>
      </c>
      <c r="G90" s="167" t="s">
        <v>152</v>
      </c>
      <c r="H90" s="180"/>
      <c r="I90" s="180"/>
      <c r="J90" s="180"/>
    </row>
    <row r="91" spans="2:10">
      <c r="B91" s="179" t="str">
        <f>CONVENTIONS!K85</f>
        <v>PRE</v>
      </c>
      <c r="C91" s="179" t="str">
        <f>_xlfn.TEXTJOIN(",",TRUE,IF(LEFT(Regions!$C$3,1)&lt;&gt;"*",Regions!$C$3,""),IF(LEFT(Regions!$D$3,1)&lt;&gt;"*",Regions!$D$3,""))</f>
        <v>IE,National</v>
      </c>
      <c r="D91" s="179" t="str">
        <f>CONVENTIONS!E85</f>
        <v>FT-SUPBIO</v>
      </c>
      <c r="E91" s="179" t="str">
        <f>CONVENTIONS!F85</f>
        <v>Fuel Tech - Biomass (SUP)</v>
      </c>
      <c r="F91" s="191" t="s">
        <v>10</v>
      </c>
      <c r="G91" s="167" t="s">
        <v>152</v>
      </c>
      <c r="H91" s="180"/>
      <c r="I91" s="180"/>
      <c r="J91" s="180"/>
    </row>
    <row r="92" spans="2:10">
      <c r="B92" s="179" t="str">
        <f>CONVENTIONS!K86</f>
        <v>PRE</v>
      </c>
      <c r="C92" s="179" t="str">
        <f>_xlfn.TEXTJOIN(",",TRUE,IF(LEFT(Regions!$C$3,1)&lt;&gt;"*",Regions!$C$3,""),IF(LEFT(Regions!$D$3,1)&lt;&gt;"*",Regions!$D$3,""))</f>
        <v>IE,National</v>
      </c>
      <c r="D92" s="179" t="str">
        <f>CONVENTIONS!E86</f>
        <v>FT-SUPELC</v>
      </c>
      <c r="E92" s="179" t="str">
        <f>CONVENTIONS!F86</f>
        <v>Fuel Tech - Electricity (SUP)</v>
      </c>
      <c r="F92" s="160" t="s">
        <v>10</v>
      </c>
      <c r="G92" s="167" t="s">
        <v>152</v>
      </c>
      <c r="H92" s="180" t="s">
        <v>63</v>
      </c>
      <c r="I92" s="180"/>
      <c r="J92" s="180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B577-4D89-4799-9E6A-0D10D8F4A4E3}">
  <sheetPr codeName="Sheet4"/>
  <dimension ref="B1:S14"/>
  <sheetViews>
    <sheetView workbookViewId="0">
      <selection activeCell="C6" sqref="C6"/>
    </sheetView>
  </sheetViews>
  <sheetFormatPr defaultRowHeight="14.4"/>
  <cols>
    <col min="1" max="1" width="9.21875" style="23"/>
    <col min="2" max="2" width="11.5546875" style="23" customWidth="1"/>
    <col min="3" max="3" width="11.21875" style="23" bestFit="1" customWidth="1"/>
    <col min="4" max="4" width="26" style="23" bestFit="1" customWidth="1"/>
    <col min="5" max="5" width="11.21875" style="23" bestFit="1" customWidth="1"/>
    <col min="6" max="8" width="9.21875" style="23"/>
    <col min="9" max="9" width="10.21875" style="23" bestFit="1" customWidth="1"/>
    <col min="10" max="10" width="8.77734375" bestFit="1" customWidth="1"/>
    <col min="11" max="11" width="16.77734375" style="23" customWidth="1"/>
    <col min="12" max="12" width="9.21875" style="23"/>
    <col min="13" max="13" width="11.21875" style="23" bestFit="1" customWidth="1"/>
    <col min="14" max="14" width="14.77734375" style="23" bestFit="1" customWidth="1"/>
    <col min="15" max="15" width="37" style="23" bestFit="1" customWidth="1"/>
    <col min="16" max="17" width="9.77734375" style="23" customWidth="1"/>
    <col min="18" max="262" width="9.21875" style="23"/>
    <col min="263" max="263" width="10.5546875" style="23" bestFit="1" customWidth="1"/>
    <col min="264" max="264" width="14.77734375" style="23" bestFit="1" customWidth="1"/>
    <col min="265" max="265" width="11.21875" style="23" bestFit="1" customWidth="1"/>
    <col min="266" max="518" width="9.21875" style="23"/>
    <col min="519" max="519" width="10.5546875" style="23" bestFit="1" customWidth="1"/>
    <col min="520" max="520" width="14.77734375" style="23" bestFit="1" customWidth="1"/>
    <col min="521" max="521" width="11.21875" style="23" bestFit="1" customWidth="1"/>
    <col min="522" max="774" width="9.21875" style="23"/>
    <col min="775" max="775" width="10.5546875" style="23" bestFit="1" customWidth="1"/>
    <col min="776" max="776" width="14.77734375" style="23" bestFit="1" customWidth="1"/>
    <col min="777" max="777" width="11.21875" style="23" bestFit="1" customWidth="1"/>
    <col min="778" max="1030" width="9.21875" style="23"/>
    <col min="1031" max="1031" width="10.5546875" style="23" bestFit="1" customWidth="1"/>
    <col min="1032" max="1032" width="14.77734375" style="23" bestFit="1" customWidth="1"/>
    <col min="1033" max="1033" width="11.21875" style="23" bestFit="1" customWidth="1"/>
    <col min="1034" max="1286" width="9.21875" style="23"/>
    <col min="1287" max="1287" width="10.5546875" style="23" bestFit="1" customWidth="1"/>
    <col min="1288" max="1288" width="14.77734375" style="23" bestFit="1" customWidth="1"/>
    <col min="1289" max="1289" width="11.21875" style="23" bestFit="1" customWidth="1"/>
    <col min="1290" max="1542" width="9.21875" style="23"/>
    <col min="1543" max="1543" width="10.5546875" style="23" bestFit="1" customWidth="1"/>
    <col min="1544" max="1544" width="14.77734375" style="23" bestFit="1" customWidth="1"/>
    <col min="1545" max="1545" width="11.21875" style="23" bestFit="1" customWidth="1"/>
    <col min="1546" max="1798" width="9.21875" style="23"/>
    <col min="1799" max="1799" width="10.5546875" style="23" bestFit="1" customWidth="1"/>
    <col min="1800" max="1800" width="14.77734375" style="23" bestFit="1" customWidth="1"/>
    <col min="1801" max="1801" width="11.21875" style="23" bestFit="1" customWidth="1"/>
    <col min="1802" max="2054" width="9.21875" style="23"/>
    <col min="2055" max="2055" width="10.5546875" style="23" bestFit="1" customWidth="1"/>
    <col min="2056" max="2056" width="14.77734375" style="23" bestFit="1" customWidth="1"/>
    <col min="2057" max="2057" width="11.21875" style="23" bestFit="1" customWidth="1"/>
    <col min="2058" max="2310" width="9.21875" style="23"/>
    <col min="2311" max="2311" width="10.5546875" style="23" bestFit="1" customWidth="1"/>
    <col min="2312" max="2312" width="14.77734375" style="23" bestFit="1" customWidth="1"/>
    <col min="2313" max="2313" width="11.21875" style="23" bestFit="1" customWidth="1"/>
    <col min="2314" max="2566" width="9.21875" style="23"/>
    <col min="2567" max="2567" width="10.5546875" style="23" bestFit="1" customWidth="1"/>
    <col min="2568" max="2568" width="14.77734375" style="23" bestFit="1" customWidth="1"/>
    <col min="2569" max="2569" width="11.21875" style="23" bestFit="1" customWidth="1"/>
    <col min="2570" max="2822" width="9.21875" style="23"/>
    <col min="2823" max="2823" width="10.5546875" style="23" bestFit="1" customWidth="1"/>
    <col min="2824" max="2824" width="14.77734375" style="23" bestFit="1" customWidth="1"/>
    <col min="2825" max="2825" width="11.21875" style="23" bestFit="1" customWidth="1"/>
    <col min="2826" max="3078" width="9.21875" style="23"/>
    <col min="3079" max="3079" width="10.5546875" style="23" bestFit="1" customWidth="1"/>
    <col min="3080" max="3080" width="14.77734375" style="23" bestFit="1" customWidth="1"/>
    <col min="3081" max="3081" width="11.21875" style="23" bestFit="1" customWidth="1"/>
    <col min="3082" max="3334" width="9.21875" style="23"/>
    <col min="3335" max="3335" width="10.5546875" style="23" bestFit="1" customWidth="1"/>
    <col min="3336" max="3336" width="14.77734375" style="23" bestFit="1" customWidth="1"/>
    <col min="3337" max="3337" width="11.21875" style="23" bestFit="1" customWidth="1"/>
    <col min="3338" max="3590" width="9.21875" style="23"/>
    <col min="3591" max="3591" width="10.5546875" style="23" bestFit="1" customWidth="1"/>
    <col min="3592" max="3592" width="14.77734375" style="23" bestFit="1" customWidth="1"/>
    <col min="3593" max="3593" width="11.21875" style="23" bestFit="1" customWidth="1"/>
    <col min="3594" max="3846" width="9.21875" style="23"/>
    <col min="3847" max="3847" width="10.5546875" style="23" bestFit="1" customWidth="1"/>
    <col min="3848" max="3848" width="14.77734375" style="23" bestFit="1" customWidth="1"/>
    <col min="3849" max="3849" width="11.21875" style="23" bestFit="1" customWidth="1"/>
    <col min="3850" max="4102" width="9.21875" style="23"/>
    <col min="4103" max="4103" width="10.5546875" style="23" bestFit="1" customWidth="1"/>
    <col min="4104" max="4104" width="14.77734375" style="23" bestFit="1" customWidth="1"/>
    <col min="4105" max="4105" width="11.21875" style="23" bestFit="1" customWidth="1"/>
    <col min="4106" max="4358" width="9.21875" style="23"/>
    <col min="4359" max="4359" width="10.5546875" style="23" bestFit="1" customWidth="1"/>
    <col min="4360" max="4360" width="14.77734375" style="23" bestFit="1" customWidth="1"/>
    <col min="4361" max="4361" width="11.21875" style="23" bestFit="1" customWidth="1"/>
    <col min="4362" max="4614" width="9.21875" style="23"/>
    <col min="4615" max="4615" width="10.5546875" style="23" bestFit="1" customWidth="1"/>
    <col min="4616" max="4616" width="14.77734375" style="23" bestFit="1" customWidth="1"/>
    <col min="4617" max="4617" width="11.21875" style="23" bestFit="1" customWidth="1"/>
    <col min="4618" max="4870" width="9.21875" style="23"/>
    <col min="4871" max="4871" width="10.5546875" style="23" bestFit="1" customWidth="1"/>
    <col min="4872" max="4872" width="14.77734375" style="23" bestFit="1" customWidth="1"/>
    <col min="4873" max="4873" width="11.21875" style="23" bestFit="1" customWidth="1"/>
    <col min="4874" max="5126" width="9.21875" style="23"/>
    <col min="5127" max="5127" width="10.5546875" style="23" bestFit="1" customWidth="1"/>
    <col min="5128" max="5128" width="14.77734375" style="23" bestFit="1" customWidth="1"/>
    <col min="5129" max="5129" width="11.21875" style="23" bestFit="1" customWidth="1"/>
    <col min="5130" max="5382" width="9.21875" style="23"/>
    <col min="5383" max="5383" width="10.5546875" style="23" bestFit="1" customWidth="1"/>
    <col min="5384" max="5384" width="14.77734375" style="23" bestFit="1" customWidth="1"/>
    <col min="5385" max="5385" width="11.21875" style="23" bestFit="1" customWidth="1"/>
    <col min="5386" max="5638" width="9.21875" style="23"/>
    <col min="5639" max="5639" width="10.5546875" style="23" bestFit="1" customWidth="1"/>
    <col min="5640" max="5640" width="14.77734375" style="23" bestFit="1" customWidth="1"/>
    <col min="5641" max="5641" width="11.21875" style="23" bestFit="1" customWidth="1"/>
    <col min="5642" max="5894" width="9.21875" style="23"/>
    <col min="5895" max="5895" width="10.5546875" style="23" bestFit="1" customWidth="1"/>
    <col min="5896" max="5896" width="14.77734375" style="23" bestFit="1" customWidth="1"/>
    <col min="5897" max="5897" width="11.21875" style="23" bestFit="1" customWidth="1"/>
    <col min="5898" max="6150" width="9.21875" style="23"/>
    <col min="6151" max="6151" width="10.5546875" style="23" bestFit="1" customWidth="1"/>
    <col min="6152" max="6152" width="14.77734375" style="23" bestFit="1" customWidth="1"/>
    <col min="6153" max="6153" width="11.21875" style="23" bestFit="1" customWidth="1"/>
    <col min="6154" max="6406" width="9.21875" style="23"/>
    <col min="6407" max="6407" width="10.5546875" style="23" bestFit="1" customWidth="1"/>
    <col min="6408" max="6408" width="14.77734375" style="23" bestFit="1" customWidth="1"/>
    <col min="6409" max="6409" width="11.21875" style="23" bestFit="1" customWidth="1"/>
    <col min="6410" max="6662" width="9.21875" style="23"/>
    <col min="6663" max="6663" width="10.5546875" style="23" bestFit="1" customWidth="1"/>
    <col min="6664" max="6664" width="14.77734375" style="23" bestFit="1" customWidth="1"/>
    <col min="6665" max="6665" width="11.21875" style="23" bestFit="1" customWidth="1"/>
    <col min="6666" max="6918" width="9.21875" style="23"/>
    <col min="6919" max="6919" width="10.5546875" style="23" bestFit="1" customWidth="1"/>
    <col min="6920" max="6920" width="14.77734375" style="23" bestFit="1" customWidth="1"/>
    <col min="6921" max="6921" width="11.21875" style="23" bestFit="1" customWidth="1"/>
    <col min="6922" max="7174" width="9.21875" style="23"/>
    <col min="7175" max="7175" width="10.5546875" style="23" bestFit="1" customWidth="1"/>
    <col min="7176" max="7176" width="14.77734375" style="23" bestFit="1" customWidth="1"/>
    <col min="7177" max="7177" width="11.21875" style="23" bestFit="1" customWidth="1"/>
    <col min="7178" max="7430" width="9.21875" style="23"/>
    <col min="7431" max="7431" width="10.5546875" style="23" bestFit="1" customWidth="1"/>
    <col min="7432" max="7432" width="14.77734375" style="23" bestFit="1" customWidth="1"/>
    <col min="7433" max="7433" width="11.21875" style="23" bestFit="1" customWidth="1"/>
    <col min="7434" max="7686" width="9.21875" style="23"/>
    <col min="7687" max="7687" width="10.5546875" style="23" bestFit="1" customWidth="1"/>
    <col min="7688" max="7688" width="14.77734375" style="23" bestFit="1" customWidth="1"/>
    <col min="7689" max="7689" width="11.21875" style="23" bestFit="1" customWidth="1"/>
    <col min="7690" max="7942" width="9.21875" style="23"/>
    <col min="7943" max="7943" width="10.5546875" style="23" bestFit="1" customWidth="1"/>
    <col min="7944" max="7944" width="14.77734375" style="23" bestFit="1" customWidth="1"/>
    <col min="7945" max="7945" width="11.21875" style="23" bestFit="1" customWidth="1"/>
    <col min="7946" max="8198" width="9.21875" style="23"/>
    <col min="8199" max="8199" width="10.5546875" style="23" bestFit="1" customWidth="1"/>
    <col min="8200" max="8200" width="14.77734375" style="23" bestFit="1" customWidth="1"/>
    <col min="8201" max="8201" width="11.21875" style="23" bestFit="1" customWidth="1"/>
    <col min="8202" max="8454" width="9.21875" style="23"/>
    <col min="8455" max="8455" width="10.5546875" style="23" bestFit="1" customWidth="1"/>
    <col min="8456" max="8456" width="14.77734375" style="23" bestFit="1" customWidth="1"/>
    <col min="8457" max="8457" width="11.21875" style="23" bestFit="1" customWidth="1"/>
    <col min="8458" max="8710" width="9.21875" style="23"/>
    <col min="8711" max="8711" width="10.5546875" style="23" bestFit="1" customWidth="1"/>
    <col min="8712" max="8712" width="14.77734375" style="23" bestFit="1" customWidth="1"/>
    <col min="8713" max="8713" width="11.21875" style="23" bestFit="1" customWidth="1"/>
    <col min="8714" max="8966" width="9.21875" style="23"/>
    <col min="8967" max="8967" width="10.5546875" style="23" bestFit="1" customWidth="1"/>
    <col min="8968" max="8968" width="14.77734375" style="23" bestFit="1" customWidth="1"/>
    <col min="8969" max="8969" width="11.21875" style="23" bestFit="1" customWidth="1"/>
    <col min="8970" max="9222" width="9.21875" style="23"/>
    <col min="9223" max="9223" width="10.5546875" style="23" bestFit="1" customWidth="1"/>
    <col min="9224" max="9224" width="14.77734375" style="23" bestFit="1" customWidth="1"/>
    <col min="9225" max="9225" width="11.21875" style="23" bestFit="1" customWidth="1"/>
    <col min="9226" max="9478" width="9.21875" style="23"/>
    <col min="9479" max="9479" width="10.5546875" style="23" bestFit="1" customWidth="1"/>
    <col min="9480" max="9480" width="14.77734375" style="23" bestFit="1" customWidth="1"/>
    <col min="9481" max="9481" width="11.21875" style="23" bestFit="1" customWidth="1"/>
    <col min="9482" max="9734" width="9.21875" style="23"/>
    <col min="9735" max="9735" width="10.5546875" style="23" bestFit="1" customWidth="1"/>
    <col min="9736" max="9736" width="14.77734375" style="23" bestFit="1" customWidth="1"/>
    <col min="9737" max="9737" width="11.21875" style="23" bestFit="1" customWidth="1"/>
    <col min="9738" max="9990" width="9.21875" style="23"/>
    <col min="9991" max="9991" width="10.5546875" style="23" bestFit="1" customWidth="1"/>
    <col min="9992" max="9992" width="14.77734375" style="23" bestFit="1" customWidth="1"/>
    <col min="9993" max="9993" width="11.21875" style="23" bestFit="1" customWidth="1"/>
    <col min="9994" max="10246" width="9.21875" style="23"/>
    <col min="10247" max="10247" width="10.5546875" style="23" bestFit="1" customWidth="1"/>
    <col min="10248" max="10248" width="14.77734375" style="23" bestFit="1" customWidth="1"/>
    <col min="10249" max="10249" width="11.21875" style="23" bestFit="1" customWidth="1"/>
    <col min="10250" max="10502" width="9.21875" style="23"/>
    <col min="10503" max="10503" width="10.5546875" style="23" bestFit="1" customWidth="1"/>
    <col min="10504" max="10504" width="14.77734375" style="23" bestFit="1" customWidth="1"/>
    <col min="10505" max="10505" width="11.21875" style="23" bestFit="1" customWidth="1"/>
    <col min="10506" max="10758" width="9.21875" style="23"/>
    <col min="10759" max="10759" width="10.5546875" style="23" bestFit="1" customWidth="1"/>
    <col min="10760" max="10760" width="14.77734375" style="23" bestFit="1" customWidth="1"/>
    <col min="10761" max="10761" width="11.21875" style="23" bestFit="1" customWidth="1"/>
    <col min="10762" max="11014" width="9.21875" style="23"/>
    <col min="11015" max="11015" width="10.5546875" style="23" bestFit="1" customWidth="1"/>
    <col min="11016" max="11016" width="14.77734375" style="23" bestFit="1" customWidth="1"/>
    <col min="11017" max="11017" width="11.21875" style="23" bestFit="1" customWidth="1"/>
    <col min="11018" max="11270" width="9.21875" style="23"/>
    <col min="11271" max="11271" width="10.5546875" style="23" bestFit="1" customWidth="1"/>
    <col min="11272" max="11272" width="14.77734375" style="23" bestFit="1" customWidth="1"/>
    <col min="11273" max="11273" width="11.21875" style="23" bestFit="1" customWidth="1"/>
    <col min="11274" max="11526" width="9.21875" style="23"/>
    <col min="11527" max="11527" width="10.5546875" style="23" bestFit="1" customWidth="1"/>
    <col min="11528" max="11528" width="14.77734375" style="23" bestFit="1" customWidth="1"/>
    <col min="11529" max="11529" width="11.21875" style="23" bestFit="1" customWidth="1"/>
    <col min="11530" max="11782" width="9.21875" style="23"/>
    <col min="11783" max="11783" width="10.5546875" style="23" bestFit="1" customWidth="1"/>
    <col min="11784" max="11784" width="14.77734375" style="23" bestFit="1" customWidth="1"/>
    <col min="11785" max="11785" width="11.21875" style="23" bestFit="1" customWidth="1"/>
    <col min="11786" max="12038" width="9.21875" style="23"/>
    <col min="12039" max="12039" width="10.5546875" style="23" bestFit="1" customWidth="1"/>
    <col min="12040" max="12040" width="14.77734375" style="23" bestFit="1" customWidth="1"/>
    <col min="12041" max="12041" width="11.21875" style="23" bestFit="1" customWidth="1"/>
    <col min="12042" max="12294" width="9.21875" style="23"/>
    <col min="12295" max="12295" width="10.5546875" style="23" bestFit="1" customWidth="1"/>
    <col min="12296" max="12296" width="14.77734375" style="23" bestFit="1" customWidth="1"/>
    <col min="12297" max="12297" width="11.21875" style="23" bestFit="1" customWidth="1"/>
    <col min="12298" max="12550" width="9.21875" style="23"/>
    <col min="12551" max="12551" width="10.5546875" style="23" bestFit="1" customWidth="1"/>
    <col min="12552" max="12552" width="14.77734375" style="23" bestFit="1" customWidth="1"/>
    <col min="12553" max="12553" width="11.21875" style="23" bestFit="1" customWidth="1"/>
    <col min="12554" max="12806" width="9.21875" style="23"/>
    <col min="12807" max="12807" width="10.5546875" style="23" bestFit="1" customWidth="1"/>
    <col min="12808" max="12808" width="14.77734375" style="23" bestFit="1" customWidth="1"/>
    <col min="12809" max="12809" width="11.21875" style="23" bestFit="1" customWidth="1"/>
    <col min="12810" max="13062" width="9.21875" style="23"/>
    <col min="13063" max="13063" width="10.5546875" style="23" bestFit="1" customWidth="1"/>
    <col min="13064" max="13064" width="14.77734375" style="23" bestFit="1" customWidth="1"/>
    <col min="13065" max="13065" width="11.21875" style="23" bestFit="1" customWidth="1"/>
    <col min="13066" max="13318" width="9.21875" style="23"/>
    <col min="13319" max="13319" width="10.5546875" style="23" bestFit="1" customWidth="1"/>
    <col min="13320" max="13320" width="14.77734375" style="23" bestFit="1" customWidth="1"/>
    <col min="13321" max="13321" width="11.21875" style="23" bestFit="1" customWidth="1"/>
    <col min="13322" max="13574" width="9.21875" style="23"/>
    <col min="13575" max="13575" width="10.5546875" style="23" bestFit="1" customWidth="1"/>
    <col min="13576" max="13576" width="14.77734375" style="23" bestFit="1" customWidth="1"/>
    <col min="13577" max="13577" width="11.21875" style="23" bestFit="1" customWidth="1"/>
    <col min="13578" max="13830" width="9.21875" style="23"/>
    <col min="13831" max="13831" width="10.5546875" style="23" bestFit="1" customWidth="1"/>
    <col min="13832" max="13832" width="14.77734375" style="23" bestFit="1" customWidth="1"/>
    <col min="13833" max="13833" width="11.21875" style="23" bestFit="1" customWidth="1"/>
    <col min="13834" max="14086" width="9.21875" style="23"/>
    <col min="14087" max="14087" width="10.5546875" style="23" bestFit="1" customWidth="1"/>
    <col min="14088" max="14088" width="14.77734375" style="23" bestFit="1" customWidth="1"/>
    <col min="14089" max="14089" width="11.21875" style="23" bestFit="1" customWidth="1"/>
    <col min="14090" max="14342" width="9.21875" style="23"/>
    <col min="14343" max="14343" width="10.5546875" style="23" bestFit="1" customWidth="1"/>
    <col min="14344" max="14344" width="14.77734375" style="23" bestFit="1" customWidth="1"/>
    <col min="14345" max="14345" width="11.21875" style="23" bestFit="1" customWidth="1"/>
    <col min="14346" max="14598" width="9.21875" style="23"/>
    <col min="14599" max="14599" width="10.5546875" style="23" bestFit="1" customWidth="1"/>
    <col min="14600" max="14600" width="14.77734375" style="23" bestFit="1" customWidth="1"/>
    <col min="14601" max="14601" width="11.21875" style="23" bestFit="1" customWidth="1"/>
    <col min="14602" max="14854" width="9.21875" style="23"/>
    <col min="14855" max="14855" width="10.5546875" style="23" bestFit="1" customWidth="1"/>
    <col min="14856" max="14856" width="14.77734375" style="23" bestFit="1" customWidth="1"/>
    <col min="14857" max="14857" width="11.21875" style="23" bestFit="1" customWidth="1"/>
    <col min="14858" max="15110" width="9.21875" style="23"/>
    <col min="15111" max="15111" width="10.5546875" style="23" bestFit="1" customWidth="1"/>
    <col min="15112" max="15112" width="14.77734375" style="23" bestFit="1" customWidth="1"/>
    <col min="15113" max="15113" width="11.21875" style="23" bestFit="1" customWidth="1"/>
    <col min="15114" max="15366" width="9.21875" style="23"/>
    <col min="15367" max="15367" width="10.5546875" style="23" bestFit="1" customWidth="1"/>
    <col min="15368" max="15368" width="14.77734375" style="23" bestFit="1" customWidth="1"/>
    <col min="15369" max="15369" width="11.21875" style="23" bestFit="1" customWidth="1"/>
    <col min="15370" max="15622" width="9.21875" style="23"/>
    <col min="15623" max="15623" width="10.5546875" style="23" bestFit="1" customWidth="1"/>
    <col min="15624" max="15624" width="14.77734375" style="23" bestFit="1" customWidth="1"/>
    <col min="15625" max="15625" width="11.21875" style="23" bestFit="1" customWidth="1"/>
    <col min="15626" max="15878" width="9.21875" style="23"/>
    <col min="15879" max="15879" width="10.5546875" style="23" bestFit="1" customWidth="1"/>
    <col min="15880" max="15880" width="14.77734375" style="23" bestFit="1" customWidth="1"/>
    <col min="15881" max="15881" width="11.21875" style="23" bestFit="1" customWidth="1"/>
    <col min="15882" max="16134" width="9.21875" style="23"/>
    <col min="16135" max="16135" width="10.5546875" style="23" bestFit="1" customWidth="1"/>
    <col min="16136" max="16136" width="14.77734375" style="23" bestFit="1" customWidth="1"/>
    <col min="16137" max="16137" width="11.21875" style="23" bestFit="1" customWidth="1"/>
    <col min="16138" max="16384" width="9.21875" style="23"/>
  </cols>
  <sheetData>
    <row r="1" spans="2:19" ht="18">
      <c r="B1" s="154" t="s">
        <v>224</v>
      </c>
      <c r="C1" s="155"/>
      <c r="D1" s="155"/>
      <c r="E1" s="156"/>
      <c r="F1" s="156"/>
      <c r="J1" s="23"/>
    </row>
    <row r="3" spans="2:19">
      <c r="E3" s="1" t="s">
        <v>58</v>
      </c>
    </row>
    <row r="4" spans="2:19">
      <c r="B4" s="157" t="s">
        <v>513</v>
      </c>
      <c r="C4" s="157" t="s">
        <v>2</v>
      </c>
      <c r="D4" s="157" t="s">
        <v>64</v>
      </c>
      <c r="E4" s="157" t="s">
        <v>38</v>
      </c>
      <c r="F4" s="158" t="s">
        <v>125</v>
      </c>
      <c r="G4" s="158" t="s">
        <v>146</v>
      </c>
      <c r="H4" s="158" t="s">
        <v>225</v>
      </c>
      <c r="I4" s="158" t="s">
        <v>430</v>
      </c>
      <c r="J4" s="158" t="s">
        <v>226</v>
      </c>
      <c r="K4" s="158" t="s">
        <v>227</v>
      </c>
    </row>
    <row r="5" spans="2:19" ht="15" thickBot="1">
      <c r="B5" s="159" t="s">
        <v>211</v>
      </c>
      <c r="C5" s="159"/>
      <c r="D5" s="159"/>
      <c r="E5" s="159"/>
      <c r="F5" s="159"/>
      <c r="G5" s="159"/>
      <c r="H5" s="159"/>
      <c r="I5" s="159" t="s">
        <v>152</v>
      </c>
      <c r="J5" s="159" t="s">
        <v>228</v>
      </c>
      <c r="K5" s="159" t="s">
        <v>229</v>
      </c>
    </row>
    <row r="6" spans="2:19">
      <c r="B6" s="23" t="str">
        <f>Processes!C88</f>
        <v>IE,National</v>
      </c>
      <c r="C6" s="23" t="str">
        <f>Processes!D88</f>
        <v>FT-SUPNGA</v>
      </c>
      <c r="D6" s="23" t="str">
        <f>Commodities!C21</f>
        <v>GASNAT</v>
      </c>
      <c r="E6" s="23" t="str">
        <f>Commodities!C54</f>
        <v>SUPNGA</v>
      </c>
      <c r="F6" s="25">
        <v>1</v>
      </c>
      <c r="G6" s="25"/>
      <c r="H6" s="25"/>
      <c r="I6" s="41"/>
      <c r="K6" s="25"/>
    </row>
    <row r="7" spans="2:19">
      <c r="B7" s="23" t="str">
        <f>Processes!C89</f>
        <v>IE,National</v>
      </c>
      <c r="C7" s="23" t="str">
        <f>Processes!D89</f>
        <v>FT-SUPCOA</v>
      </c>
      <c r="D7" s="23" t="str">
        <f>Commodities!C7</f>
        <v>COAHAR</v>
      </c>
      <c r="E7" s="23" t="str">
        <f>Commodities!C53</f>
        <v>SUPCOA</v>
      </c>
      <c r="F7" s="25">
        <v>1</v>
      </c>
      <c r="G7" s="25"/>
      <c r="H7" s="25"/>
      <c r="I7" s="41"/>
      <c r="K7" s="25"/>
    </row>
    <row r="8" spans="2:19">
      <c r="B8" s="23" t="str">
        <f>Processes!C90</f>
        <v>IE,National</v>
      </c>
      <c r="C8" s="23" t="str">
        <f>Processes!D90</f>
        <v>FT-SUPWAS</v>
      </c>
      <c r="D8" s="23" t="str">
        <f>Commodities!C27</f>
        <v>MSWAS</v>
      </c>
      <c r="E8" s="23" t="str">
        <f>Commodities!C57</f>
        <v>SUPWAS</v>
      </c>
      <c r="F8" s="25">
        <v>1</v>
      </c>
      <c r="G8" s="25"/>
      <c r="H8" s="25"/>
      <c r="I8" s="41"/>
      <c r="K8" s="25"/>
    </row>
    <row r="9" spans="2:19">
      <c r="B9" s="23" t="str">
        <f>Processes!C91</f>
        <v>IE,National</v>
      </c>
      <c r="C9" s="23" t="str">
        <f>Processes!D91</f>
        <v>FT-SUPBIO</v>
      </c>
      <c r="D9" s="23" t="str">
        <f>_xlfn.TEXTJOIN(", ",TRUE,Commodities!C38,Commodities!C42,Commodities!C43)</f>
        <v>BIOWOO, BIOWPE, BIOWCH</v>
      </c>
      <c r="E9" s="23" t="str">
        <f>Commodities!C55</f>
        <v>SUPBIO</v>
      </c>
      <c r="F9" s="25">
        <v>1</v>
      </c>
      <c r="G9" s="25"/>
      <c r="H9" s="25"/>
      <c r="I9" s="41"/>
      <c r="K9" s="25"/>
    </row>
    <row r="10" spans="2:19">
      <c r="B10" s="23" t="str">
        <f>Processes!C92</f>
        <v>IE,National</v>
      </c>
      <c r="C10" s="23" t="str">
        <f>Processes!D92</f>
        <v>FT-SUPELC</v>
      </c>
      <c r="D10" s="23" t="s">
        <v>65</v>
      </c>
      <c r="E10" s="23" t="str">
        <f>Commodities!C56</f>
        <v>SUPELC</v>
      </c>
      <c r="F10" s="25">
        <v>1</v>
      </c>
      <c r="G10" s="25"/>
      <c r="H10" s="25"/>
      <c r="I10" s="41"/>
      <c r="K10" s="25"/>
    </row>
    <row r="11" spans="2:19">
      <c r="F11" s="25"/>
      <c r="G11" s="25"/>
      <c r="H11" s="25"/>
      <c r="I11" s="41"/>
      <c r="K11" s="25"/>
      <c r="M11"/>
      <c r="N11"/>
      <c r="O11"/>
      <c r="P11" s="160"/>
      <c r="Q11" s="160"/>
      <c r="R11" s="160"/>
      <c r="S11" s="24"/>
    </row>
    <row r="12" spans="2:19">
      <c r="F12" s="25"/>
      <c r="G12" s="25"/>
      <c r="H12" s="161"/>
      <c r="I12" s="41"/>
      <c r="K12" s="161"/>
      <c r="M12"/>
      <c r="N12"/>
      <c r="O12"/>
      <c r="P12" s="160"/>
      <c r="Q12" s="160"/>
      <c r="R12" s="160"/>
      <c r="S12" s="24"/>
    </row>
    <row r="13" spans="2:19">
      <c r="G13" s="161"/>
      <c r="H13" s="161"/>
      <c r="I13" s="161"/>
      <c r="K13" s="161"/>
      <c r="M13"/>
      <c r="N13"/>
      <c r="O13"/>
      <c r="P13" s="160"/>
      <c r="Q13" s="160"/>
      <c r="R13"/>
      <c r="S13" s="24"/>
    </row>
    <row r="14" spans="2:19">
      <c r="F14" s="25"/>
      <c r="G14" s="25"/>
      <c r="H14" s="25"/>
      <c r="I14" s="41"/>
      <c r="K14" s="25"/>
      <c r="M14"/>
      <c r="N14"/>
      <c r="O14"/>
      <c r="P14" s="160"/>
      <c r="Q14" s="160"/>
      <c r="R14" s="160"/>
      <c r="S14" s="24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U158"/>
  <sheetViews>
    <sheetView topLeftCell="A89" zoomScale="78" zoomScaleNormal="130" workbookViewId="0">
      <selection activeCell="F104" sqref="F104"/>
    </sheetView>
  </sheetViews>
  <sheetFormatPr defaultColWidth="9.21875" defaultRowHeight="14.4"/>
  <cols>
    <col min="1" max="1" width="9.21875" style="23"/>
    <col min="2" max="2" width="12.5546875" style="23" customWidth="1"/>
    <col min="3" max="3" width="23.21875" style="23" customWidth="1"/>
    <col min="4" max="4" width="21.21875" style="23" bestFit="1" customWidth="1"/>
    <col min="5" max="5" width="29.77734375" style="23" bestFit="1" customWidth="1"/>
    <col min="6" max="6" width="16.5546875" style="23" bestFit="1" customWidth="1"/>
    <col min="7" max="8" width="13.21875" style="23" bestFit="1" customWidth="1"/>
    <col min="9" max="9" width="15.21875" style="23" bestFit="1" customWidth="1"/>
    <col min="10" max="10" width="13.21875" style="23" bestFit="1" customWidth="1"/>
    <col min="11" max="11" width="14.21875" style="23" customWidth="1"/>
    <col min="12" max="12" width="12.77734375" style="23" customWidth="1"/>
    <col min="13" max="13" width="19.21875" style="23" customWidth="1"/>
    <col min="14" max="14" width="15.21875" style="23" customWidth="1"/>
    <col min="15" max="15" width="10.5546875" style="23" customWidth="1"/>
    <col min="16" max="22" width="9.21875" style="23"/>
    <col min="23" max="23" width="16" style="23" bestFit="1" customWidth="1"/>
    <col min="24" max="24" width="19.21875" style="23" customWidth="1"/>
    <col min="25" max="25" width="38.5546875" style="23" bestFit="1" customWidth="1"/>
    <col min="26" max="16384" width="9.21875" style="23"/>
  </cols>
  <sheetData>
    <row r="1" spans="2:20" ht="18">
      <c r="B1" s="3" t="s">
        <v>544</v>
      </c>
      <c r="C1" s="4"/>
      <c r="D1" s="4"/>
    </row>
    <row r="3" spans="2:20" ht="18">
      <c r="G3" s="253" t="s">
        <v>557</v>
      </c>
      <c r="H3" s="1"/>
      <c r="I3" s="5"/>
      <c r="J3" s="2"/>
      <c r="K3" s="2"/>
      <c r="L3" s="2"/>
      <c r="M3" s="2"/>
      <c r="N3" s="2"/>
      <c r="O3" s="2"/>
      <c r="P3" s="2"/>
      <c r="Q3" s="2"/>
      <c r="R3" s="2"/>
    </row>
    <row r="4" spans="2:20">
      <c r="C4" s="6" t="s">
        <v>513</v>
      </c>
      <c r="D4" s="6" t="s">
        <v>2</v>
      </c>
      <c r="E4" s="6" t="s">
        <v>545</v>
      </c>
      <c r="F4" s="6" t="s">
        <v>559</v>
      </c>
      <c r="G4" s="6" t="s">
        <v>38</v>
      </c>
      <c r="H4" s="7" t="s">
        <v>599</v>
      </c>
      <c r="I4" s="7" t="s">
        <v>600</v>
      </c>
      <c r="J4" s="7" t="s">
        <v>601</v>
      </c>
      <c r="K4" s="7" t="s">
        <v>602</v>
      </c>
      <c r="L4" s="7" t="s">
        <v>603</v>
      </c>
      <c r="M4" s="7" t="s">
        <v>604</v>
      </c>
      <c r="N4" s="38" t="s">
        <v>77</v>
      </c>
    </row>
    <row r="5" spans="2:20" ht="28.2" thickBot="1">
      <c r="C5" s="9" t="s">
        <v>515</v>
      </c>
      <c r="D5" s="9" t="s">
        <v>46</v>
      </c>
      <c r="E5" s="9" t="s">
        <v>47</v>
      </c>
      <c r="F5" s="9" t="s">
        <v>558</v>
      </c>
      <c r="G5" s="9" t="s">
        <v>48</v>
      </c>
      <c r="H5" s="9"/>
      <c r="I5" s="8" t="s">
        <v>49</v>
      </c>
      <c r="J5" s="8" t="s">
        <v>49</v>
      </c>
      <c r="K5" s="8" t="s">
        <v>49</v>
      </c>
      <c r="L5" s="8" t="s">
        <v>49</v>
      </c>
      <c r="M5" s="8" t="s">
        <v>49</v>
      </c>
      <c r="N5" s="8"/>
    </row>
    <row r="6" spans="2:20">
      <c r="C6" s="255" t="str">
        <f>Processes!C11</f>
        <v>IE,National</v>
      </c>
      <c r="D6" s="255" t="str">
        <f>Processes!D11</f>
        <v>IMPOILCRD</v>
      </c>
      <c r="E6" s="255" t="str">
        <f>Processes!E11</f>
        <v xml:space="preserve">Import of Crude Oil </v>
      </c>
      <c r="F6" s="23" t="s">
        <v>13</v>
      </c>
      <c r="G6" s="255" t="str">
        <f>Commodities!C11</f>
        <v>OILCRD</v>
      </c>
      <c r="H6" s="256">
        <f>F55</f>
        <v>10.080858130155704</v>
      </c>
      <c r="I6" s="256">
        <f>Imports_Fossil!F37</f>
        <v>9.8525375645158704</v>
      </c>
      <c r="J6" s="256">
        <f>Imports_Fossil!G37</f>
        <v>11.103653445724236</v>
      </c>
      <c r="K6" s="256">
        <f>Imports_Fossil!H37</f>
        <v>11.885600871479463</v>
      </c>
      <c r="L6" s="256">
        <f>Imports_Fossil!I37</f>
        <v>12.66754829723469</v>
      </c>
      <c r="M6" s="256">
        <f>Imports_Fossil!J37</f>
        <v>13.293106237838872</v>
      </c>
      <c r="N6" t="s">
        <v>556</v>
      </c>
    </row>
    <row r="7" spans="2:20">
      <c r="C7" s="255" t="str">
        <f>Processes!C19</f>
        <v>IE,National</v>
      </c>
      <c r="D7" s="255" t="str">
        <f>Processes!D19</f>
        <v>IMPGASNAT_UK</v>
      </c>
      <c r="E7" s="255" t="str">
        <f>Processes!E19</f>
        <v>Import of Natural Gas  - UK</v>
      </c>
      <c r="F7" s="23" t="s">
        <v>13</v>
      </c>
      <c r="G7" s="255" t="str">
        <f>Commodities!C21</f>
        <v>GASNAT</v>
      </c>
      <c r="H7" s="256">
        <f>F56</f>
        <v>6.0993955738996535</v>
      </c>
      <c r="I7" s="256">
        <f>Imports_Fossil!F38</f>
        <v>5.672401594494854</v>
      </c>
      <c r="J7" s="256">
        <f>Imports_Fossil!G38</f>
        <v>6.1803778566884233</v>
      </c>
      <c r="K7" s="256">
        <f>Imports_Fossil!H38</f>
        <v>9.3975608505810264</v>
      </c>
      <c r="L7" s="256">
        <f>Imports_Fossil!I38</f>
        <v>11.006152347527328</v>
      </c>
      <c r="M7" s="256">
        <f>Imports_Fossil!J38</f>
        <v>12.890088334941915</v>
      </c>
      <c r="N7" t="s">
        <v>556</v>
      </c>
      <c r="R7" s="23" t="s">
        <v>560</v>
      </c>
      <c r="T7" s="23" t="s">
        <v>561</v>
      </c>
    </row>
    <row r="8" spans="2:20">
      <c r="C8" s="257" t="str">
        <f>Processes!C8</f>
        <v>IE,National</v>
      </c>
      <c r="D8" s="257" t="str">
        <f>Processes!D8</f>
        <v>IMPCOAHAR</v>
      </c>
      <c r="E8" s="257" t="str">
        <f>Processes!E8</f>
        <v xml:space="preserve">Import of Hard Coal / Antracite </v>
      </c>
      <c r="F8" s="27" t="s">
        <v>13</v>
      </c>
      <c r="G8" s="257" t="str">
        <f>Commodities!C7</f>
        <v>COAHAR</v>
      </c>
      <c r="H8" s="258">
        <f>F57</f>
        <v>1.8606832276188203</v>
      </c>
      <c r="I8" s="258">
        <f>Imports_Fossil!F39</f>
        <v>1.3014677481874186</v>
      </c>
      <c r="J8" s="258">
        <f>Imports_Fossil!G39</f>
        <v>1.3868098956095445</v>
      </c>
      <c r="K8" s="258">
        <f>Imports_Fossil!H39</f>
        <v>1.7068429484425165</v>
      </c>
      <c r="L8" s="258">
        <f>Imports_Fossil!I39</f>
        <v>1.8775272432867682</v>
      </c>
      <c r="M8" s="258">
        <f>Imports_Fossil!J39</f>
        <v>2.065279967615445</v>
      </c>
      <c r="N8" t="s">
        <v>556</v>
      </c>
    </row>
    <row r="9" spans="2:20">
      <c r="C9" s="255" t="str">
        <f>Processes!C7</f>
        <v>IE,National</v>
      </c>
      <c r="D9" s="255" t="str">
        <f>Processes!D7</f>
        <v>IMPCOABIT</v>
      </c>
      <c r="E9" s="255" t="str">
        <f>Processes!E7</f>
        <v xml:space="preserve">Import of Bituminous Coal </v>
      </c>
      <c r="F9" s="23" t="s">
        <v>13</v>
      </c>
      <c r="G9" s="255" t="str">
        <f>Commodities!C6</f>
        <v>COABIT</v>
      </c>
      <c r="H9" s="256">
        <f t="shared" ref="H9:M9" si="0">H$8*$N$9</f>
        <v>1.7676490662378885</v>
      </c>
      <c r="I9" s="256">
        <f t="shared" si="0"/>
        <v>1.2363943607780541</v>
      </c>
      <c r="J9" s="256">
        <f t="shared" si="0"/>
        <v>1.3174694008290742</v>
      </c>
      <c r="K9" s="256">
        <f t="shared" si="0"/>
        <v>1.6215008010203991</v>
      </c>
      <c r="L9" s="256">
        <f t="shared" si="0"/>
        <v>1.7836508811224392</v>
      </c>
      <c r="M9" s="256">
        <f t="shared" si="0"/>
        <v>1.962015969234683</v>
      </c>
      <c r="N9" s="259">
        <v>0.95000000000000495</v>
      </c>
      <c r="R9" s="23" t="s">
        <v>562</v>
      </c>
      <c r="S9" s="23" t="s">
        <v>563</v>
      </c>
    </row>
    <row r="10" spans="2:20">
      <c r="C10" s="255" t="str">
        <f>Processes!C9</f>
        <v>IE,National</v>
      </c>
      <c r="D10" s="255" t="str">
        <f>Processes!D9</f>
        <v>IMPCOACOK</v>
      </c>
      <c r="E10" s="255" t="str">
        <f>Processes!E9</f>
        <v xml:space="preserve">Import of Coke Coal </v>
      </c>
      <c r="F10" s="23" t="s">
        <v>13</v>
      </c>
      <c r="G10" s="255" t="str">
        <f>Commodities!C8</f>
        <v>COACOK</v>
      </c>
      <c r="H10" s="256">
        <f t="shared" ref="H10:M11" si="1">H$8*$N10</f>
        <v>2.3630676990759136</v>
      </c>
      <c r="I10" s="256">
        <f t="shared" si="1"/>
        <v>1.6528640401980297</v>
      </c>
      <c r="J10" s="256">
        <f t="shared" si="1"/>
        <v>1.7612485674241301</v>
      </c>
      <c r="K10" s="256">
        <f t="shared" si="1"/>
        <v>2.1676905445220065</v>
      </c>
      <c r="L10" s="256">
        <f t="shared" si="1"/>
        <v>2.3844595989742072</v>
      </c>
      <c r="M10" s="256">
        <f t="shared" si="1"/>
        <v>2.6229055588716279</v>
      </c>
      <c r="N10" s="26">
        <v>1.2700000000000062</v>
      </c>
      <c r="R10" s="23" t="s">
        <v>564</v>
      </c>
      <c r="S10" s="23">
        <v>58.93</v>
      </c>
    </row>
    <row r="11" spans="2:20">
      <c r="C11" s="255" t="str">
        <f>Processes!C10</f>
        <v>IE,National</v>
      </c>
      <c r="D11" s="255" t="str">
        <f>Processes!D10</f>
        <v>IMPCOALIG</v>
      </c>
      <c r="E11" s="255" t="str">
        <f>Processes!E10</f>
        <v xml:space="preserve">Import of Lignite /  Brown Coal </v>
      </c>
      <c r="F11" s="23" t="s">
        <v>13</v>
      </c>
      <c r="G11" s="255" t="str">
        <f>Commodities!C9</f>
        <v>COALIG</v>
      </c>
      <c r="H11" s="256">
        <f t="shared" si="1"/>
        <v>1.6291696463022047</v>
      </c>
      <c r="I11" s="256">
        <f t="shared" si="1"/>
        <v>1.1395339730673333</v>
      </c>
      <c r="J11" s="256">
        <f t="shared" si="1"/>
        <v>1.2142575122848633</v>
      </c>
      <c r="K11" s="256">
        <f t="shared" si="1"/>
        <v>1.4944707843506013</v>
      </c>
      <c r="L11" s="256">
        <f t="shared" si="1"/>
        <v>1.6439178627856614</v>
      </c>
      <c r="M11" s="256">
        <f t="shared" si="1"/>
        <v>1.8083096490642274</v>
      </c>
      <c r="N11" s="26">
        <v>0.87557603686636576</v>
      </c>
      <c r="R11" s="23" t="s">
        <v>565</v>
      </c>
      <c r="S11" s="23">
        <v>19.86</v>
      </c>
    </row>
    <row r="12" spans="2:20">
      <c r="C12" s="255" t="str">
        <f>Processes!C20</f>
        <v>IE,National</v>
      </c>
      <c r="D12" s="255" t="str">
        <f>Processes!D20</f>
        <v>IMPGASLNG_GLOBAL</v>
      </c>
      <c r="E12" s="255" t="str">
        <f>Processes!E20</f>
        <v xml:space="preserve">Import of Liquified Natural Gas </v>
      </c>
      <c r="F12" s="23" t="s">
        <v>13</v>
      </c>
      <c r="G12" s="255" t="str">
        <f>Commodities!C22</f>
        <v>GASLNG</v>
      </c>
      <c r="H12" s="256">
        <f t="shared" ref="H12:M12" si="2">H$7*$N12</f>
        <v>6.5078020231419309</v>
      </c>
      <c r="I12" s="256">
        <f t="shared" si="2"/>
        <v>6.0522171624172225</v>
      </c>
      <c r="J12" s="256">
        <f t="shared" si="2"/>
        <v>6.5942067590516009</v>
      </c>
      <c r="K12" s="256">
        <f t="shared" si="2"/>
        <v>10.026807537735994</v>
      </c>
      <c r="L12" s="256">
        <f t="shared" si="2"/>
        <v>11.743107927078192</v>
      </c>
      <c r="M12" s="256">
        <f t="shared" si="2"/>
        <v>13.753189464145629</v>
      </c>
      <c r="N12" s="26">
        <v>1.0669585115925122</v>
      </c>
      <c r="R12" s="23" t="s">
        <v>566</v>
      </c>
      <c r="S12" s="23">
        <v>102.22</v>
      </c>
    </row>
    <row r="13" spans="2:20">
      <c r="C13" s="255" t="str">
        <f>Processes!C14</f>
        <v>IE,National</v>
      </c>
      <c r="D13" s="255" t="str">
        <f>Processes!D14</f>
        <v>IMPOILDST</v>
      </c>
      <c r="E13" s="255" t="str">
        <f>Processes!E14</f>
        <v xml:space="preserve">Import of Diesel Oil </v>
      </c>
      <c r="F13" s="23" t="s">
        <v>13</v>
      </c>
      <c r="G13" s="255" t="str">
        <f>Commodities!C15</f>
        <v>OILDST</v>
      </c>
      <c r="H13" s="256">
        <f t="shared" ref="H13:M18" si="3">H$6*$N13</f>
        <v>15.417783022591095</v>
      </c>
      <c r="I13" s="256">
        <f t="shared" si="3"/>
        <v>15.068586863377233</v>
      </c>
      <c r="J13" s="256">
        <f t="shared" si="3"/>
        <v>16.982058211107677</v>
      </c>
      <c r="K13" s="256">
        <f t="shared" si="3"/>
        <v>18.177977803439202</v>
      </c>
      <c r="L13" s="256">
        <f t="shared" si="3"/>
        <v>19.373897395770726</v>
      </c>
      <c r="M13" s="256">
        <f t="shared" si="3"/>
        <v>20.330633069635947</v>
      </c>
      <c r="N13" s="26">
        <v>1.5294117647058842</v>
      </c>
    </row>
    <row r="14" spans="2:20">
      <c r="C14" s="255" t="str">
        <f>Processes!C16</f>
        <v>IE,National</v>
      </c>
      <c r="D14" s="255" t="str">
        <f>Processes!D16</f>
        <v>IMPOILGSL</v>
      </c>
      <c r="E14" s="255" t="str">
        <f>Processes!E16</f>
        <v xml:space="preserve">Import of Gasoline </v>
      </c>
      <c r="F14" s="23" t="s">
        <v>13</v>
      </c>
      <c r="G14" s="255" t="str">
        <f>Commodities!C17</f>
        <v>OILGSL</v>
      </c>
      <c r="H14" s="256">
        <f t="shared" si="3"/>
        <v>16.603766332021141</v>
      </c>
      <c r="I14" s="256">
        <f t="shared" si="3"/>
        <v>16.227708929790829</v>
      </c>
      <c r="J14" s="256">
        <f t="shared" si="3"/>
        <v>18.288370381192841</v>
      </c>
      <c r="K14" s="256">
        <f t="shared" si="3"/>
        <v>19.576283788319095</v>
      </c>
      <c r="L14" s="256">
        <f t="shared" si="3"/>
        <v>20.864197195445353</v>
      </c>
      <c r="M14" s="256">
        <f t="shared" si="3"/>
        <v>21.894527921146356</v>
      </c>
      <c r="N14" s="26">
        <v>1.6470588235294101</v>
      </c>
    </row>
    <row r="15" spans="2:20">
      <c r="C15" s="255" t="str">
        <f>Processes!C13</f>
        <v>IE,National</v>
      </c>
      <c r="D15" s="255" t="str">
        <f>Processes!D13</f>
        <v>IMPOILHFO</v>
      </c>
      <c r="E15" s="255" t="str">
        <f>Processes!E13</f>
        <v xml:space="preserve">Import of Heavy Fuel Oil </v>
      </c>
      <c r="F15" s="23" t="s">
        <v>13</v>
      </c>
      <c r="G15" s="255" t="str">
        <f>Commodities!C14</f>
        <v>OILHFO</v>
      </c>
      <c r="H15" s="256">
        <f t="shared" si="3"/>
        <v>8.165495085426107</v>
      </c>
      <c r="I15" s="256">
        <f t="shared" si="3"/>
        <v>7.9805554272578423</v>
      </c>
      <c r="J15" s="256">
        <f t="shared" si="3"/>
        <v>8.9939592910366173</v>
      </c>
      <c r="K15" s="256">
        <f t="shared" si="3"/>
        <v>9.6273367058983492</v>
      </c>
      <c r="L15" s="256">
        <f t="shared" si="3"/>
        <v>10.260714120760083</v>
      </c>
      <c r="M15" s="256">
        <f t="shared" si="3"/>
        <v>10.76741605264947</v>
      </c>
      <c r="N15" s="26">
        <v>0.80999999999999872</v>
      </c>
    </row>
    <row r="16" spans="2:20">
      <c r="C16" s="255" t="str">
        <f>Processes!C12</f>
        <v>IE,National</v>
      </c>
      <c r="D16" s="255" t="str">
        <f>Processes!D12</f>
        <v>IMPOILKER</v>
      </c>
      <c r="E16" s="255" t="str">
        <f>Processes!E12</f>
        <v xml:space="preserve">Import of Kerosene </v>
      </c>
      <c r="F16" s="23" t="s">
        <v>13</v>
      </c>
      <c r="G16" s="255" t="str">
        <f>Commodities!C13</f>
        <v>OILKER</v>
      </c>
      <c r="H16" s="256">
        <f t="shared" si="3"/>
        <v>16.603766332021141</v>
      </c>
      <c r="I16" s="256">
        <f t="shared" si="3"/>
        <v>16.227708929790829</v>
      </c>
      <c r="J16" s="256">
        <f t="shared" si="3"/>
        <v>18.288370381192841</v>
      </c>
      <c r="K16" s="256">
        <f t="shared" si="3"/>
        <v>19.576283788319095</v>
      </c>
      <c r="L16" s="256">
        <f t="shared" si="3"/>
        <v>20.864197195445353</v>
      </c>
      <c r="M16" s="256">
        <f t="shared" si="3"/>
        <v>21.894527921146356</v>
      </c>
      <c r="N16" s="26">
        <v>1.6470588235294101</v>
      </c>
    </row>
    <row r="17" spans="3:21">
      <c r="C17" s="255" t="str">
        <f>Processes!C15</f>
        <v>IE,National</v>
      </c>
      <c r="D17" s="255" t="str">
        <f>Processes!D15</f>
        <v>IMPOILLPG</v>
      </c>
      <c r="E17" s="255" t="str">
        <f>Processes!E15</f>
        <v xml:space="preserve">Import of Liquified Petroleum Gas </v>
      </c>
      <c r="F17" s="23" t="s">
        <v>13</v>
      </c>
      <c r="G17" s="255" t="str">
        <f>Commodities!C16</f>
        <v>OILLPG</v>
      </c>
      <c r="H17" s="256">
        <f t="shared" si="3"/>
        <v>13.045816403730882</v>
      </c>
      <c r="I17" s="256">
        <f t="shared" si="3"/>
        <v>12.750342730549923</v>
      </c>
      <c r="J17" s="256">
        <f t="shared" si="3"/>
        <v>14.369433870937215</v>
      </c>
      <c r="K17" s="256">
        <f t="shared" si="3"/>
        <v>15.381365833679272</v>
      </c>
      <c r="L17" s="256">
        <f t="shared" si="3"/>
        <v>16.393297796421329</v>
      </c>
      <c r="M17" s="256">
        <f t="shared" si="3"/>
        <v>17.202843366614974</v>
      </c>
      <c r="N17" s="26">
        <v>1.2941176470588207</v>
      </c>
    </row>
    <row r="18" spans="3:21">
      <c r="C18" s="255" t="str">
        <f>Processes!C17</f>
        <v>IE,National</v>
      </c>
      <c r="D18" s="255" t="str">
        <f>Processes!D17</f>
        <v>IMPOILCOK</v>
      </c>
      <c r="E18" s="255" t="str">
        <f>Processes!E17</f>
        <v xml:space="preserve">Import of Petroleum Coke </v>
      </c>
      <c r="F18" s="27" t="s">
        <v>13</v>
      </c>
      <c r="G18" s="255" t="str">
        <f>Commodities!C18</f>
        <v>OILCOK</v>
      </c>
      <c r="H18" s="256">
        <f t="shared" si="3"/>
        <v>16.603766332021141</v>
      </c>
      <c r="I18" s="256">
        <f t="shared" si="3"/>
        <v>16.227708929790829</v>
      </c>
      <c r="J18" s="256">
        <f t="shared" si="3"/>
        <v>18.288370381192841</v>
      </c>
      <c r="K18" s="256">
        <f t="shared" si="3"/>
        <v>19.576283788319095</v>
      </c>
      <c r="L18" s="256">
        <f t="shared" si="3"/>
        <v>20.864197195445353</v>
      </c>
      <c r="M18" s="256">
        <f t="shared" si="3"/>
        <v>21.894527921146356</v>
      </c>
      <c r="N18" s="260">
        <v>1.6470588235294101</v>
      </c>
    </row>
    <row r="19" spans="3:21">
      <c r="C19" s="261" t="str">
        <f>Processes!C21</f>
        <v>IE,National</v>
      </c>
      <c r="D19" s="261" t="str">
        <f>Processes!D21</f>
        <v>IMPNUCURM</v>
      </c>
      <c r="E19" s="261" t="str">
        <f>Processes!E21</f>
        <v>Import of Uranium</v>
      </c>
      <c r="F19" s="265" t="s">
        <v>13</v>
      </c>
      <c r="G19" s="261" t="str">
        <f>Commodities!C23</f>
        <v>NUCURM</v>
      </c>
      <c r="H19" s="262"/>
      <c r="I19" s="262"/>
      <c r="J19" s="263"/>
      <c r="K19" s="263"/>
      <c r="L19" s="263"/>
      <c r="M19" s="263"/>
      <c r="N19"/>
    </row>
    <row r="20" spans="3:21">
      <c r="C20" s="261" t="str">
        <f>Processes!C18</f>
        <v>IE,National</v>
      </c>
      <c r="D20" s="261" t="str">
        <f>Processes!D18</f>
        <v>IMPOILNEU</v>
      </c>
      <c r="E20" s="261" t="str">
        <f>Processes!E18</f>
        <v>Import of Oil for Non-Energy uses</v>
      </c>
      <c r="F20" s="265" t="s">
        <v>13</v>
      </c>
      <c r="G20" s="264" t="str">
        <f>Commodities!C20</f>
        <v>OILNEU</v>
      </c>
      <c r="H20" s="262">
        <f t="shared" ref="H20" si="4">H6</f>
        <v>10.080858130155704</v>
      </c>
      <c r="I20" s="262">
        <f t="shared" ref="I20:M20" si="5">I6</f>
        <v>9.8525375645158704</v>
      </c>
      <c r="J20" s="262">
        <f t="shared" si="5"/>
        <v>11.103653445724236</v>
      </c>
      <c r="K20" s="262">
        <f t="shared" si="5"/>
        <v>11.885600871479463</v>
      </c>
      <c r="L20" s="262">
        <f t="shared" si="5"/>
        <v>12.66754829723469</v>
      </c>
      <c r="M20" s="262">
        <f t="shared" si="5"/>
        <v>13.293106237838872</v>
      </c>
      <c r="N20" s="264"/>
    </row>
    <row r="21" spans="3:21"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3:21"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3:21"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3:21">
      <c r="C24" s="241" t="s">
        <v>531</v>
      </c>
      <c r="D24" s="242"/>
      <c r="E24" s="242"/>
      <c r="F24" s="243"/>
      <c r="G24" s="483" t="s">
        <v>527</v>
      </c>
      <c r="H24" s="483"/>
      <c r="I24" s="483"/>
      <c r="J24" s="484"/>
      <c r="K24" s="485" t="s">
        <v>528</v>
      </c>
      <c r="L24" s="486"/>
      <c r="M24" s="487" t="s">
        <v>529</v>
      </c>
      <c r="N24" s="486"/>
      <c r="S24"/>
    </row>
    <row r="25" spans="3:21">
      <c r="C25" s="237" t="s">
        <v>530</v>
      </c>
      <c r="D25" s="237" t="s">
        <v>76</v>
      </c>
      <c r="E25" s="239">
        <v>2010</v>
      </c>
      <c r="F25" s="239">
        <v>2019</v>
      </c>
      <c r="G25" s="238">
        <v>2025</v>
      </c>
      <c r="H25" s="239">
        <v>2030</v>
      </c>
      <c r="I25" s="239">
        <v>2035</v>
      </c>
      <c r="J25" s="240">
        <v>2040</v>
      </c>
      <c r="K25" s="238">
        <v>2025</v>
      </c>
      <c r="L25" s="240">
        <v>2040</v>
      </c>
      <c r="M25" s="239">
        <v>2025</v>
      </c>
      <c r="N25" s="240">
        <v>2040</v>
      </c>
      <c r="O25"/>
    </row>
    <row r="26" spans="3:21">
      <c r="C26" s="229" t="s">
        <v>517</v>
      </c>
      <c r="D26" s="229" t="s">
        <v>516</v>
      </c>
      <c r="E26" s="231">
        <v>91</v>
      </c>
      <c r="F26" s="232">
        <v>63</v>
      </c>
      <c r="G26" s="231">
        <v>71</v>
      </c>
      <c r="H26" s="231">
        <v>76</v>
      </c>
      <c r="I26" s="231">
        <v>81</v>
      </c>
      <c r="J26" s="232">
        <v>85</v>
      </c>
      <c r="K26" s="231">
        <v>57</v>
      </c>
      <c r="L26" s="232">
        <v>53</v>
      </c>
      <c r="M26" s="231">
        <v>59</v>
      </c>
      <c r="N26" s="232">
        <v>71</v>
      </c>
      <c r="O26"/>
    </row>
    <row r="27" spans="3:21">
      <c r="C27" s="229" t="s">
        <v>519</v>
      </c>
      <c r="D27" s="229" t="s">
        <v>521</v>
      </c>
      <c r="E27" s="231">
        <v>8.6999999999999993</v>
      </c>
      <c r="F27" s="232">
        <v>6.7</v>
      </c>
      <c r="G27" s="231">
        <v>7.3</v>
      </c>
      <c r="H27" s="231">
        <v>11.1</v>
      </c>
      <c r="I27" s="231">
        <v>13</v>
      </c>
      <c r="J27" s="232">
        <f>I27*(1+(I27/H27-1))</f>
        <v>15.225225225225225</v>
      </c>
      <c r="K27" s="231">
        <v>4.8</v>
      </c>
      <c r="L27" s="232">
        <v>4.9000000000000004</v>
      </c>
      <c r="M27" s="231">
        <v>6.3</v>
      </c>
      <c r="N27" s="232">
        <v>7.6</v>
      </c>
      <c r="O27"/>
    </row>
    <row r="28" spans="3:21">
      <c r="C28" s="233" t="s">
        <v>518</v>
      </c>
      <c r="D28" s="233" t="s">
        <v>522</v>
      </c>
      <c r="E28" s="235">
        <v>108</v>
      </c>
      <c r="F28" s="236">
        <v>61</v>
      </c>
      <c r="G28" s="235">
        <v>65</v>
      </c>
      <c r="H28" s="235">
        <v>80</v>
      </c>
      <c r="I28" s="235">
        <v>88</v>
      </c>
      <c r="J28" s="236">
        <f>I28*(1+(I28/H28-1))</f>
        <v>96.800000000000011</v>
      </c>
      <c r="K28" s="235">
        <v>57</v>
      </c>
      <c r="L28" s="236">
        <v>55</v>
      </c>
      <c r="M28" s="235">
        <v>60</v>
      </c>
      <c r="N28" s="236">
        <v>64</v>
      </c>
      <c r="O28" s="33"/>
    </row>
    <row r="29" spans="3:21">
      <c r="C29" s="30" t="s">
        <v>520</v>
      </c>
      <c r="D29" s="34"/>
      <c r="E29"/>
      <c r="F29"/>
      <c r="G29"/>
      <c r="H29"/>
      <c r="I29"/>
      <c r="J29"/>
      <c r="K29"/>
      <c r="L29"/>
      <c r="M29"/>
      <c r="N29"/>
      <c r="O29" s="33"/>
    </row>
    <row r="30" spans="3:21">
      <c r="C30" s="30"/>
      <c r="D30" s="34"/>
      <c r="E30"/>
      <c r="F30"/>
      <c r="G30"/>
      <c r="H30"/>
      <c r="I30"/>
      <c r="J30"/>
      <c r="K30"/>
      <c r="L30"/>
      <c r="M30"/>
      <c r="N30"/>
      <c r="O30" s="33"/>
    </row>
    <row r="31" spans="3:21">
      <c r="C31" s="250" t="s">
        <v>532</v>
      </c>
      <c r="D31" s="250"/>
      <c r="E31" s="254">
        <f>E25</f>
        <v>2010</v>
      </c>
      <c r="F31" s="254">
        <f t="shared" ref="F31:N31" si="6">F25</f>
        <v>2019</v>
      </c>
      <c r="G31" s="254">
        <f t="shared" si="6"/>
        <v>2025</v>
      </c>
      <c r="H31" s="254">
        <f t="shared" si="6"/>
        <v>2030</v>
      </c>
      <c r="I31" s="254">
        <f t="shared" si="6"/>
        <v>2035</v>
      </c>
      <c r="J31" s="254">
        <f t="shared" si="6"/>
        <v>2040</v>
      </c>
      <c r="K31" s="254">
        <f t="shared" si="6"/>
        <v>2025</v>
      </c>
      <c r="L31" s="254">
        <f t="shared" si="6"/>
        <v>2040</v>
      </c>
      <c r="M31" s="254">
        <f t="shared" si="6"/>
        <v>2025</v>
      </c>
      <c r="N31" s="254">
        <f t="shared" si="6"/>
        <v>2040</v>
      </c>
      <c r="O31" s="33"/>
    </row>
    <row r="32" spans="3:21">
      <c r="C32" s="245" t="str">
        <f>C26</f>
        <v xml:space="preserve">IEA crude oil </v>
      </c>
      <c r="D32" s="252" t="s">
        <v>523</v>
      </c>
      <c r="E32" s="247">
        <f>E26/Conversions!$C$10</f>
        <v>81.288139393132582</v>
      </c>
      <c r="F32" s="246">
        <f>F26/Conversions!$C$10</f>
        <v>56.276404195245632</v>
      </c>
      <c r="G32" s="247">
        <f>G26/Conversions!$C$10</f>
        <v>63.422614251784765</v>
      </c>
      <c r="H32" s="246">
        <f>H26/Conversions!$C$10</f>
        <v>67.888995537121716</v>
      </c>
      <c r="I32" s="246">
        <f>I26/Conversions!$C$10</f>
        <v>72.355376822458666</v>
      </c>
      <c r="J32" s="248">
        <f>J26/Conversions!$C$10</f>
        <v>75.928481850728232</v>
      </c>
      <c r="K32" s="247">
        <f>K26/Conversions!$C$10</f>
        <v>50.91674665284129</v>
      </c>
      <c r="L32" s="248">
        <f>L26/Conversions!$C$10</f>
        <v>47.343641624571724</v>
      </c>
      <c r="M32" s="246">
        <f>M26/Conversions!$C$10</f>
        <v>52.703299166976066</v>
      </c>
      <c r="N32" s="248">
        <f>N26/Conversions!$C$10</f>
        <v>63.422614251784765</v>
      </c>
      <c r="O32" s="33"/>
    </row>
    <row r="33" spans="3:20">
      <c r="C33" s="229" t="str">
        <f>C27</f>
        <v>Natural Gas - EU</v>
      </c>
      <c r="D33" s="230" t="s">
        <v>524</v>
      </c>
      <c r="E33" s="244">
        <f>E27/Conversions!$C$10</f>
        <v>7.7715034364863014</v>
      </c>
      <c r="F33" s="231">
        <f>F27/Conversions!$C$10</f>
        <v>5.98495092235152</v>
      </c>
      <c r="G33" s="244">
        <f>G27/Conversions!$C$10</f>
        <v>6.5209166765919546</v>
      </c>
      <c r="H33" s="231">
        <f>H27/Conversions!$C$10</f>
        <v>9.9153664534480406</v>
      </c>
      <c r="I33" s="231">
        <f>I27/Conversions!$C$10</f>
        <v>11.612591341876083</v>
      </c>
      <c r="J33" s="232">
        <f>J27/Conversions!$C$10</f>
        <v>13.600332202197214</v>
      </c>
      <c r="K33" s="244">
        <f>K27/Conversions!$C$10</f>
        <v>4.2877260339234766</v>
      </c>
      <c r="L33" s="232">
        <f>L27/Conversions!$C$10</f>
        <v>4.3770536596302163</v>
      </c>
      <c r="M33" s="231">
        <f>M27/Conversions!$C$10</f>
        <v>5.6276404195245631</v>
      </c>
      <c r="N33" s="232">
        <f>N27/Conversions!$C$10</f>
        <v>6.788899553712171</v>
      </c>
      <c r="O33" s="33"/>
    </row>
    <row r="34" spans="3:20">
      <c r="C34" s="233" t="str">
        <f>C28</f>
        <v>Steam coal - EU</v>
      </c>
      <c r="D34" s="234" t="s">
        <v>525</v>
      </c>
      <c r="E34" s="249">
        <f>E28/Conversions!$C$10</f>
        <v>96.473835763278231</v>
      </c>
      <c r="F34" s="235">
        <f>F28/Conversions!$C$10</f>
        <v>54.489851681110849</v>
      </c>
      <c r="G34" s="249">
        <f>G28/Conversions!$C$10</f>
        <v>58.062956709380416</v>
      </c>
      <c r="H34" s="235">
        <f>H28/Conversions!$C$10</f>
        <v>71.462100565391282</v>
      </c>
      <c r="I34" s="235">
        <f>I28/Conversions!$C$10</f>
        <v>78.608310621930414</v>
      </c>
      <c r="J34" s="236">
        <f>J28/Conversions!$C$10</f>
        <v>86.469141684123457</v>
      </c>
      <c r="K34" s="249">
        <f>K28/Conversions!$C$10</f>
        <v>50.91674665284129</v>
      </c>
      <c r="L34" s="236">
        <f>L28/Conversions!$C$10</f>
        <v>49.130194138706507</v>
      </c>
      <c r="M34" s="235">
        <f>M28/Conversions!$C$10</f>
        <v>53.596575424043458</v>
      </c>
      <c r="N34" s="236">
        <f>N28/Conversions!$C$10</f>
        <v>57.169680452313024</v>
      </c>
      <c r="O34" s="33"/>
    </row>
    <row r="35" spans="3:20">
      <c r="C35" s="174"/>
      <c r="D35" s="174"/>
      <c r="E35" s="231"/>
      <c r="F35" s="231"/>
      <c r="G35" s="231"/>
      <c r="H35" s="231"/>
      <c r="I35" s="231"/>
      <c r="J35" s="231"/>
      <c r="K35" s="231"/>
      <c r="L35" s="231"/>
      <c r="M35" s="231"/>
      <c r="N35" s="231"/>
      <c r="O35" s="33"/>
    </row>
    <row r="36" spans="3:20">
      <c r="C36" s="250" t="s">
        <v>533</v>
      </c>
      <c r="D36" s="250"/>
      <c r="E36" s="254">
        <f>E25</f>
        <v>2010</v>
      </c>
      <c r="F36" s="254">
        <f t="shared" ref="F36:N36" si="7">F25</f>
        <v>2019</v>
      </c>
      <c r="G36" s="254">
        <f t="shared" si="7"/>
        <v>2025</v>
      </c>
      <c r="H36" s="254">
        <f t="shared" si="7"/>
        <v>2030</v>
      </c>
      <c r="I36" s="254">
        <f t="shared" si="7"/>
        <v>2035</v>
      </c>
      <c r="J36" s="254">
        <f t="shared" si="7"/>
        <v>2040</v>
      </c>
      <c r="K36" s="254">
        <f t="shared" si="7"/>
        <v>2025</v>
      </c>
      <c r="L36" s="254">
        <f t="shared" si="7"/>
        <v>2040</v>
      </c>
      <c r="M36" s="254">
        <f t="shared" si="7"/>
        <v>2025</v>
      </c>
      <c r="N36" s="254">
        <f t="shared" si="7"/>
        <v>2040</v>
      </c>
      <c r="O36" s="26"/>
    </row>
    <row r="37" spans="3:20">
      <c r="C37" s="245" t="str">
        <f>C26</f>
        <v xml:space="preserve">IEA crude oil </v>
      </c>
      <c r="D37" s="252" t="s">
        <v>526</v>
      </c>
      <c r="E37" s="247">
        <f>E32/Conversions!$C$5</f>
        <v>14.231443148745146</v>
      </c>
      <c r="F37" s="246">
        <f>F32/Conversions!$C$5</f>
        <v>9.8525375645158704</v>
      </c>
      <c r="G37" s="247">
        <f>G32/Conversions!$C$5</f>
        <v>11.103653445724236</v>
      </c>
      <c r="H37" s="246">
        <f>H32/Conversions!$C$5</f>
        <v>11.885600871479463</v>
      </c>
      <c r="I37" s="246">
        <f>I32/Conversions!$C$5</f>
        <v>12.66754829723469</v>
      </c>
      <c r="J37" s="248">
        <f>J32/Conversions!$C$5</f>
        <v>13.293106237838872</v>
      </c>
      <c r="K37" s="247">
        <f>K32/Conversions!$C$5</f>
        <v>8.9142006536095977</v>
      </c>
      <c r="L37" s="248">
        <f>L32/Conversions!$C$5</f>
        <v>8.2886427130054141</v>
      </c>
      <c r="M37" s="246">
        <f>M32/Conversions!$C$5</f>
        <v>9.2269796239116868</v>
      </c>
      <c r="N37" s="248">
        <f>N32/Conversions!$C$5</f>
        <v>11.103653445724236</v>
      </c>
      <c r="O37" s="26"/>
    </row>
    <row r="38" spans="3:20">
      <c r="C38" s="229" t="str">
        <f>C27</f>
        <v>Natural Gas - EU</v>
      </c>
      <c r="D38" s="230" t="s">
        <v>526</v>
      </c>
      <c r="E38" s="244">
        <f>E33/Conversions!$C$3</f>
        <v>7.3656558018067502</v>
      </c>
      <c r="F38" s="231">
        <f>F33/Conversions!$C$3</f>
        <v>5.672401594494854</v>
      </c>
      <c r="G38" s="244">
        <f>G33/Conversions!$C$3</f>
        <v>6.1803778566884233</v>
      </c>
      <c r="H38" s="231">
        <f>H33/Conversions!$C$3</f>
        <v>9.3975608505810264</v>
      </c>
      <c r="I38" s="231">
        <f>I33/Conversions!$C$3</f>
        <v>11.006152347527328</v>
      </c>
      <c r="J38" s="232">
        <f>J33/Conversions!$C$3</f>
        <v>12.890088334941915</v>
      </c>
      <c r="K38" s="244">
        <f>K33/Conversions!$C$3</f>
        <v>4.0638100975485516</v>
      </c>
      <c r="L38" s="232">
        <f>L33/Conversions!$C$3</f>
        <v>4.1484728079141471</v>
      </c>
      <c r="M38" s="231">
        <f>M33/Conversions!$C$3</f>
        <v>5.3337507530324739</v>
      </c>
      <c r="N38" s="232">
        <f>N33/Conversions!$C$3</f>
        <v>6.4343659877852062</v>
      </c>
      <c r="O38"/>
    </row>
    <row r="39" spans="3:20">
      <c r="C39" s="233" t="str">
        <f>C28</f>
        <v>Steam coal - EU</v>
      </c>
      <c r="D39" s="234" t="s">
        <v>526</v>
      </c>
      <c r="E39" s="249">
        <f>E34/(Conversions!$C$2*1000)</f>
        <v>2.3042379803973971</v>
      </c>
      <c r="F39" s="235">
        <f>F34/(Conversions!$C$2*1000)</f>
        <v>1.3014677481874186</v>
      </c>
      <c r="G39" s="249">
        <f>G34/(Conversions!$C$2*1000)</f>
        <v>1.3868098956095445</v>
      </c>
      <c r="H39" s="235">
        <f>H34/(Conversions!$C$2*1000)</f>
        <v>1.7068429484425165</v>
      </c>
      <c r="I39" s="235">
        <f>I34/(Conversions!$C$2*1000)</f>
        <v>1.8775272432867682</v>
      </c>
      <c r="J39" s="236">
        <f>J34/(Conversions!$C$2*1000)</f>
        <v>2.065279967615445</v>
      </c>
      <c r="K39" s="249">
        <f>K34/(Conversions!$C$2*1000)</f>
        <v>1.216125600765293</v>
      </c>
      <c r="L39" s="236">
        <f>L34/(Conversions!$C$2*1000)</f>
        <v>1.17345452705423</v>
      </c>
      <c r="M39" s="235">
        <f>M34/(Conversions!$C$2*1000)</f>
        <v>1.2801322113318871</v>
      </c>
      <c r="N39" s="236">
        <f>N34/(Conversions!$C$2*1000)</f>
        <v>1.365474358754013</v>
      </c>
      <c r="O39" s="33"/>
    </row>
    <row r="40" spans="3:20"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</row>
    <row r="41" spans="3:20"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3:20">
      <c r="C42" s="241" t="s">
        <v>531</v>
      </c>
      <c r="D42" s="242"/>
      <c r="E42" s="242"/>
      <c r="F42" s="243"/>
      <c r="G42" s="483" t="s">
        <v>527</v>
      </c>
      <c r="H42" s="483"/>
      <c r="I42" s="483"/>
      <c r="J42" s="484"/>
      <c r="K42" s="485" t="s">
        <v>528</v>
      </c>
      <c r="L42" s="486"/>
      <c r="M42" s="487" t="s">
        <v>555</v>
      </c>
      <c r="N42" s="486"/>
      <c r="O42"/>
    </row>
    <row r="43" spans="3:20">
      <c r="C43" s="237" t="s">
        <v>547</v>
      </c>
      <c r="D43" s="237" t="s">
        <v>76</v>
      </c>
      <c r="E43" s="239">
        <v>2010</v>
      </c>
      <c r="F43" s="239">
        <v>2018</v>
      </c>
      <c r="G43" s="238">
        <v>2025</v>
      </c>
      <c r="H43" s="239">
        <v>2030</v>
      </c>
      <c r="I43" s="239">
        <v>2035</v>
      </c>
      <c r="J43" s="240">
        <v>2040</v>
      </c>
      <c r="K43" s="238">
        <v>2025</v>
      </c>
      <c r="L43" s="240">
        <v>2040</v>
      </c>
      <c r="M43" s="239">
        <v>2025</v>
      </c>
      <c r="N43" s="240">
        <v>2040</v>
      </c>
      <c r="O43"/>
    </row>
    <row r="44" spans="3:20">
      <c r="C44" s="229" t="s">
        <v>517</v>
      </c>
      <c r="D44" s="229" t="s">
        <v>548</v>
      </c>
      <c r="E44" s="231">
        <v>90</v>
      </c>
      <c r="F44" s="232">
        <v>68</v>
      </c>
      <c r="G44" s="231">
        <v>81</v>
      </c>
      <c r="H44" s="231">
        <v>88</v>
      </c>
      <c r="I44" s="231">
        <v>96</v>
      </c>
      <c r="J44" s="232">
        <v>103</v>
      </c>
      <c r="K44" s="231">
        <v>62</v>
      </c>
      <c r="L44" s="232">
        <v>59</v>
      </c>
      <c r="M44" s="231">
        <v>111</v>
      </c>
      <c r="N44" s="232">
        <v>134</v>
      </c>
      <c r="O44"/>
      <c r="P44"/>
      <c r="Q44"/>
    </row>
    <row r="45" spans="3:20">
      <c r="C45" s="229" t="s">
        <v>519</v>
      </c>
      <c r="D45" s="229" t="s">
        <v>549</v>
      </c>
      <c r="E45" s="231">
        <v>8.6</v>
      </c>
      <c r="F45" s="232">
        <v>7.6</v>
      </c>
      <c r="G45" s="231">
        <v>8</v>
      </c>
      <c r="H45" s="231">
        <v>8</v>
      </c>
      <c r="I45" s="231">
        <v>8.4</v>
      </c>
      <c r="J45" s="232">
        <v>8.9</v>
      </c>
      <c r="K45" s="231">
        <v>7.5</v>
      </c>
      <c r="L45" s="232">
        <v>7.5</v>
      </c>
      <c r="M45" s="231">
        <v>8.9</v>
      </c>
      <c r="N45" s="232">
        <v>9.9</v>
      </c>
      <c r="O45"/>
      <c r="P45"/>
      <c r="Q45"/>
    </row>
    <row r="46" spans="3:20">
      <c r="C46" s="233" t="s">
        <v>518</v>
      </c>
      <c r="D46" s="233" t="s">
        <v>550</v>
      </c>
      <c r="E46" s="235">
        <v>106</v>
      </c>
      <c r="F46" s="236">
        <v>92</v>
      </c>
      <c r="G46" s="235">
        <v>75</v>
      </c>
      <c r="H46" s="235">
        <v>76</v>
      </c>
      <c r="I46" s="235">
        <v>78</v>
      </c>
      <c r="J46" s="236">
        <v>78</v>
      </c>
      <c r="K46" s="235">
        <v>58</v>
      </c>
      <c r="L46" s="236">
        <v>60</v>
      </c>
      <c r="M46" s="235">
        <v>83</v>
      </c>
      <c r="N46" s="236">
        <v>90</v>
      </c>
      <c r="O46"/>
      <c r="P46"/>
      <c r="Q46"/>
    </row>
    <row r="47" spans="3:20">
      <c r="C47" s="30" t="s">
        <v>546</v>
      </c>
      <c r="D47" s="34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3:20">
      <c r="C48" s="30"/>
      <c r="D48" s="34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2:20">
      <c r="C49" s="250" t="s">
        <v>532</v>
      </c>
      <c r="D49" s="250"/>
      <c r="E49" s="254">
        <f>E43</f>
        <v>2010</v>
      </c>
      <c r="F49" s="254">
        <f t="shared" ref="F49:N49" si="8">F43</f>
        <v>2018</v>
      </c>
      <c r="G49" s="254">
        <f t="shared" si="8"/>
        <v>2025</v>
      </c>
      <c r="H49" s="254">
        <f t="shared" si="8"/>
        <v>2030</v>
      </c>
      <c r="I49" s="254">
        <f t="shared" si="8"/>
        <v>2035</v>
      </c>
      <c r="J49" s="254">
        <f t="shared" si="8"/>
        <v>2040</v>
      </c>
      <c r="K49" s="254">
        <f t="shared" si="8"/>
        <v>2025</v>
      </c>
      <c r="L49" s="254">
        <f t="shared" si="8"/>
        <v>2040</v>
      </c>
      <c r="M49" s="254">
        <f t="shared" si="8"/>
        <v>2025</v>
      </c>
      <c r="N49" s="254">
        <f t="shared" si="8"/>
        <v>2040</v>
      </c>
      <c r="O49"/>
      <c r="P49"/>
      <c r="Q49"/>
    </row>
    <row r="50" spans="2:20">
      <c r="C50" s="245" t="str">
        <f>C44</f>
        <v xml:space="preserve">IEA crude oil </v>
      </c>
      <c r="D50" s="252" t="s">
        <v>551</v>
      </c>
      <c r="E50" s="247">
        <f>E44/Conversions!$C$11</f>
        <v>76.20954003972858</v>
      </c>
      <c r="F50" s="246">
        <f>F44/Conversions!$C$11</f>
        <v>57.580541363350484</v>
      </c>
      <c r="G50" s="247">
        <f>G44/Conversions!$C$11</f>
        <v>68.588586035755725</v>
      </c>
      <c r="H50" s="246">
        <f>H44/Conversions!$C$11</f>
        <v>74.515994705512384</v>
      </c>
      <c r="I50" s="246">
        <f>I44/Conversions!$C$11</f>
        <v>81.290176042377155</v>
      </c>
      <c r="J50" s="248">
        <f>J44/Conversions!$C$11</f>
        <v>87.217584712133814</v>
      </c>
      <c r="K50" s="247">
        <f>K44/Conversions!$C$11</f>
        <v>52.499905360701909</v>
      </c>
      <c r="L50" s="248">
        <f>L44/Conversions!$C$11</f>
        <v>49.959587359377622</v>
      </c>
      <c r="M50" s="246">
        <f>M44/Conversions!$C$11</f>
        <v>93.991766048998585</v>
      </c>
      <c r="N50" s="248">
        <f>N44/Conversions!$C$11</f>
        <v>113.46753739248477</v>
      </c>
      <c r="O50"/>
      <c r="P50"/>
      <c r="Q50"/>
    </row>
    <row r="51" spans="2:20">
      <c r="C51" s="229" t="str">
        <f>C45</f>
        <v>Natural Gas - EU</v>
      </c>
      <c r="D51" s="230" t="s">
        <v>552</v>
      </c>
      <c r="E51" s="244">
        <f>E45/Conversions!$C$11</f>
        <v>7.2822449371296196</v>
      </c>
      <c r="F51" s="231">
        <f>F45/Conversions!$C$11</f>
        <v>6.4354722700215241</v>
      </c>
      <c r="G51" s="244">
        <f>G45/Conversions!$C$11</f>
        <v>6.7741813368647623</v>
      </c>
      <c r="H51" s="231">
        <f>H45/Conversions!$C$11</f>
        <v>6.7741813368647623</v>
      </c>
      <c r="I51" s="231">
        <f>I45/Conversions!$C$11</f>
        <v>7.1128904037080014</v>
      </c>
      <c r="J51" s="232">
        <f>J45/Conversions!$C$11</f>
        <v>7.5362767372620487</v>
      </c>
      <c r="K51" s="244">
        <f>K45/Conversions!$C$11</f>
        <v>6.350795003310715</v>
      </c>
      <c r="L51" s="232">
        <f>L45/Conversions!$C$11</f>
        <v>6.350795003310715</v>
      </c>
      <c r="M51" s="231">
        <f>M45/Conversions!$C$11</f>
        <v>7.5362767372620487</v>
      </c>
      <c r="N51" s="232">
        <f>N45/Conversions!$C$11</f>
        <v>8.3830494043701442</v>
      </c>
      <c r="O51"/>
      <c r="P51"/>
      <c r="Q51"/>
    </row>
    <row r="52" spans="2:20">
      <c r="C52" s="233" t="str">
        <f>C46</f>
        <v>Steam coal - EU</v>
      </c>
      <c r="D52" s="234" t="s">
        <v>553</v>
      </c>
      <c r="E52" s="249">
        <f>E46/Conversions!$C$11</f>
        <v>89.757902713458108</v>
      </c>
      <c r="F52" s="235">
        <f>F46/Conversions!$C$11</f>
        <v>77.903085373944776</v>
      </c>
      <c r="G52" s="249">
        <f>G46/Conversions!$C$11</f>
        <v>63.50795003310715</v>
      </c>
      <c r="H52" s="235">
        <f>H46/Conversions!$C$11</f>
        <v>64.354722700215248</v>
      </c>
      <c r="I52" s="235">
        <f>I46/Conversions!$C$11</f>
        <v>66.04826803443143</v>
      </c>
      <c r="J52" s="236">
        <f>J46/Conversions!$C$11</f>
        <v>66.04826803443143</v>
      </c>
      <c r="K52" s="249">
        <f>K46/Conversions!$C$11</f>
        <v>49.112814692269531</v>
      </c>
      <c r="L52" s="236">
        <f>L46/Conversions!$C$11</f>
        <v>50.80636002648572</v>
      </c>
      <c r="M52" s="235">
        <f>M46/Conversions!$C$11</f>
        <v>70.282131369971907</v>
      </c>
      <c r="N52" s="236">
        <f>N46/Conversions!$C$11</f>
        <v>76.20954003972858</v>
      </c>
      <c r="O52"/>
      <c r="P52"/>
      <c r="Q52"/>
      <c r="T52" s="36"/>
    </row>
    <row r="53" spans="2:20">
      <c r="C53" s="174"/>
      <c r="D53" s="174"/>
      <c r="E53" s="231"/>
      <c r="F53" s="231"/>
      <c r="G53" s="231"/>
      <c r="H53" s="231"/>
      <c r="I53" s="231"/>
      <c r="J53" s="231"/>
      <c r="K53" s="231"/>
      <c r="L53" s="231"/>
      <c r="M53" s="231"/>
      <c r="N53" s="231"/>
      <c r="O53"/>
      <c r="T53" s="36"/>
    </row>
    <row r="54" spans="2:20">
      <c r="C54" s="250" t="s">
        <v>533</v>
      </c>
      <c r="D54" s="250"/>
      <c r="E54" s="254">
        <f>E43</f>
        <v>2010</v>
      </c>
      <c r="F54" s="254">
        <f t="shared" ref="F54:N54" si="9">F43</f>
        <v>2018</v>
      </c>
      <c r="G54" s="254">
        <f t="shared" si="9"/>
        <v>2025</v>
      </c>
      <c r="H54" s="254">
        <f t="shared" si="9"/>
        <v>2030</v>
      </c>
      <c r="I54" s="254">
        <f t="shared" si="9"/>
        <v>2035</v>
      </c>
      <c r="J54" s="254">
        <f t="shared" si="9"/>
        <v>2040</v>
      </c>
      <c r="K54" s="254">
        <f t="shared" si="9"/>
        <v>2025</v>
      </c>
      <c r="L54" s="254">
        <f t="shared" si="9"/>
        <v>2040</v>
      </c>
      <c r="M54" s="254">
        <f t="shared" si="9"/>
        <v>2025</v>
      </c>
      <c r="N54" s="254">
        <f t="shared" si="9"/>
        <v>2040</v>
      </c>
      <c r="O54"/>
      <c r="T54" s="36"/>
    </row>
    <row r="55" spans="2:20">
      <c r="C55" s="245" t="str">
        <f>C44</f>
        <v xml:space="preserve">IEA crude oil </v>
      </c>
      <c r="D55" s="252" t="s">
        <v>554</v>
      </c>
      <c r="E55" s="247">
        <f>E50/Conversions!$C$5</f>
        <v>13.342312231088432</v>
      </c>
      <c r="F55" s="246">
        <f>F50/Conversions!$C$5</f>
        <v>10.080858130155704</v>
      </c>
      <c r="G55" s="247">
        <f>G50/Conversions!$C$5</f>
        <v>12.008081007979589</v>
      </c>
      <c r="H55" s="246">
        <f>H50/Conversions!$C$5</f>
        <v>13.04581640373091</v>
      </c>
      <c r="I55" s="246">
        <f>I50/Conversions!$C$5</f>
        <v>14.231799713160994</v>
      </c>
      <c r="J55" s="248">
        <f>J50/Conversions!$C$5</f>
        <v>15.269535108912315</v>
      </c>
      <c r="K55" s="247">
        <f>K50/Conversions!$C$5</f>
        <v>9.1913706480831419</v>
      </c>
      <c r="L55" s="248">
        <f>L50/Conversions!$C$5</f>
        <v>8.7466269070468599</v>
      </c>
      <c r="M55" s="246">
        <f>M50/Conversions!$C$5</f>
        <v>16.4555184183424</v>
      </c>
      <c r="N55" s="248">
        <f>N50/Conversions!$C$5</f>
        <v>19.865220432953887</v>
      </c>
      <c r="O55"/>
      <c r="T55" s="36"/>
    </row>
    <row r="56" spans="2:20">
      <c r="C56" s="229" t="str">
        <f>C45</f>
        <v>Natural Gas - EU</v>
      </c>
      <c r="D56" s="230" t="s">
        <v>554</v>
      </c>
      <c r="E56" s="244">
        <f>E51/Conversions!$C$3</f>
        <v>6.9019476230969765</v>
      </c>
      <c r="F56" s="231">
        <f>F51/Conversions!$C$3</f>
        <v>6.0993955738996535</v>
      </c>
      <c r="G56" s="244">
        <f>G51/Conversions!$C$3</f>
        <v>6.4204163935785825</v>
      </c>
      <c r="H56" s="231">
        <f>H51/Conversions!$C$3</f>
        <v>6.4204163935785825</v>
      </c>
      <c r="I56" s="231">
        <f>I51/Conversions!$C$3</f>
        <v>6.7414372132575133</v>
      </c>
      <c r="J56" s="232">
        <f>J51/Conversions!$C$3</f>
        <v>7.1427132378561744</v>
      </c>
      <c r="K56" s="244">
        <f>K51/Conversions!$C$3</f>
        <v>6.0191403689799214</v>
      </c>
      <c r="L56" s="232">
        <f>L51/Conversions!$C$3</f>
        <v>6.0191403689799214</v>
      </c>
      <c r="M56" s="231">
        <f>M51/Conversions!$C$3</f>
        <v>7.1427132378561744</v>
      </c>
      <c r="N56" s="232">
        <f>N51/Conversions!$C$3</f>
        <v>7.9452652870534974</v>
      </c>
      <c r="O56"/>
      <c r="T56" s="36"/>
    </row>
    <row r="57" spans="2:20">
      <c r="C57" s="233" t="str">
        <f>C46</f>
        <v>Steam coal - EU</v>
      </c>
      <c r="D57" s="234" t="s">
        <v>554</v>
      </c>
      <c r="E57" s="249">
        <f>E52/(Conversions!$C$2*1000)</f>
        <v>2.1438306752999452</v>
      </c>
      <c r="F57" s="235">
        <f>F52/(Conversions!$C$2*1000)</f>
        <v>1.8606832276188203</v>
      </c>
      <c r="G57" s="249">
        <f>G52/(Conversions!$C$2*1000)</f>
        <v>1.5168613268631688</v>
      </c>
      <c r="H57" s="235">
        <f>H52/(Conversions!$C$2*1000)</f>
        <v>1.5370861445546777</v>
      </c>
      <c r="I57" s="235">
        <f>I52/(Conversions!$C$2*1000)</f>
        <v>1.5775357799376952</v>
      </c>
      <c r="J57" s="236">
        <f>J52/(Conversions!$C$2*1000)</f>
        <v>1.5775357799376952</v>
      </c>
      <c r="K57" s="249">
        <f>K52/(Conversions!$C$2*1000)</f>
        <v>1.1730394261075172</v>
      </c>
      <c r="L57" s="236">
        <f>L52/(Conversions!$C$2*1000)</f>
        <v>1.2134890614905349</v>
      </c>
      <c r="M57" s="235">
        <f>M52/(Conversions!$C$2*1000)</f>
        <v>1.6786598683952398</v>
      </c>
      <c r="N57" s="236">
        <f>N52/(Conversions!$C$2*1000)</f>
        <v>1.8202335922358024</v>
      </c>
      <c r="O57"/>
      <c r="T57" s="36"/>
    </row>
    <row r="58" spans="2:20">
      <c r="C58"/>
      <c r="D58"/>
      <c r="E58"/>
      <c r="F58"/>
      <c r="G58"/>
      <c r="H58"/>
      <c r="I58"/>
      <c r="J58"/>
      <c r="K58"/>
      <c r="L58"/>
      <c r="M58"/>
      <c r="N58"/>
      <c r="O58"/>
      <c r="T58" s="36"/>
    </row>
    <row r="59" spans="2:20">
      <c r="C59"/>
      <c r="D59"/>
      <c r="E59"/>
      <c r="F59"/>
      <c r="G59"/>
      <c r="H59"/>
      <c r="I59"/>
      <c r="J59"/>
      <c r="K59"/>
      <c r="L59"/>
      <c r="M59"/>
      <c r="N59"/>
      <c r="O59"/>
      <c r="T59" s="37"/>
    </row>
    <row r="60" spans="2:20">
      <c r="C60"/>
      <c r="D60"/>
      <c r="E60"/>
      <c r="F60"/>
      <c r="G60"/>
      <c r="H60"/>
      <c r="I60"/>
      <c r="J60"/>
      <c r="K60"/>
      <c r="L60"/>
      <c r="M60"/>
      <c r="N60"/>
      <c r="O60"/>
      <c r="T60"/>
    </row>
    <row r="61" spans="2:20">
      <c r="C61"/>
      <c r="D61"/>
      <c r="E61"/>
      <c r="F61"/>
      <c r="G61"/>
      <c r="H61"/>
      <c r="I61"/>
      <c r="J61"/>
      <c r="K61"/>
      <c r="L61"/>
      <c r="M61"/>
      <c r="N61"/>
      <c r="O61"/>
      <c r="T61"/>
    </row>
    <row r="62" spans="2:20">
      <c r="C62"/>
      <c r="D62"/>
      <c r="E62"/>
      <c r="F62"/>
      <c r="G62"/>
      <c r="H62"/>
      <c r="I62"/>
      <c r="J62"/>
      <c r="K62"/>
      <c r="L62"/>
      <c r="M62"/>
      <c r="N62"/>
      <c r="O62"/>
      <c r="T62"/>
    </row>
    <row r="63" spans="2:20">
      <c r="C63"/>
      <c r="D63"/>
      <c r="E63"/>
      <c r="F63"/>
      <c r="G63"/>
      <c r="H63"/>
      <c r="I63"/>
      <c r="J63"/>
      <c r="K63"/>
      <c r="L63"/>
      <c r="M63"/>
      <c r="N63"/>
      <c r="O63"/>
      <c r="T63"/>
    </row>
    <row r="64" spans="2:20">
      <c r="B64" s="23" t="s">
        <v>671</v>
      </c>
      <c r="C64" t="s">
        <v>670</v>
      </c>
      <c r="D64"/>
      <c r="E64"/>
      <c r="F64" t="s">
        <v>672</v>
      </c>
      <c r="G64"/>
      <c r="H64"/>
      <c r="I64"/>
      <c r="J64"/>
      <c r="K64"/>
      <c r="L64"/>
      <c r="M64"/>
      <c r="N64"/>
      <c r="O64"/>
      <c r="T64"/>
    </row>
    <row r="65" spans="3:20">
      <c r="C65"/>
      <c r="D65"/>
      <c r="E65"/>
      <c r="F65"/>
      <c r="G65"/>
      <c r="H65"/>
      <c r="I65"/>
      <c r="J65"/>
      <c r="K65"/>
      <c r="L65"/>
      <c r="M65"/>
      <c r="N65"/>
      <c r="O65"/>
      <c r="T65"/>
    </row>
    <row r="66" spans="3:20">
      <c r="C66"/>
      <c r="D66"/>
      <c r="E66"/>
      <c r="F66"/>
      <c r="G66"/>
      <c r="H66"/>
      <c r="I66"/>
      <c r="J66"/>
      <c r="K66"/>
      <c r="L66"/>
      <c r="M66"/>
      <c r="N66"/>
      <c r="O66"/>
      <c r="T66"/>
    </row>
    <row r="67" spans="3:20">
      <c r="H67"/>
      <c r="I67"/>
      <c r="J67"/>
      <c r="K67"/>
      <c r="L67"/>
      <c r="M67"/>
      <c r="N67"/>
      <c r="O67"/>
    </row>
    <row r="68" spans="3:20">
      <c r="H68"/>
      <c r="I68"/>
      <c r="J68"/>
      <c r="K68"/>
      <c r="L68"/>
      <c r="M68"/>
      <c r="N68"/>
      <c r="O68"/>
    </row>
    <row r="69" spans="3:20">
      <c r="H69"/>
      <c r="I69"/>
      <c r="J69"/>
      <c r="K69"/>
      <c r="L69"/>
      <c r="M69"/>
      <c r="N69"/>
      <c r="O69"/>
    </row>
    <row r="100" spans="3:11">
      <c r="C100" s="66" t="s">
        <v>683</v>
      </c>
    </row>
    <row r="101" spans="3:11">
      <c r="C101" s="27"/>
      <c r="D101" s="473" t="s">
        <v>684</v>
      </c>
      <c r="E101" s="473" t="s">
        <v>685</v>
      </c>
      <c r="F101" s="473" t="s">
        <v>697</v>
      </c>
      <c r="G101" s="473" t="s">
        <v>698</v>
      </c>
    </row>
    <row r="102" spans="3:11">
      <c r="C102" s="23">
        <v>2020</v>
      </c>
      <c r="D102" s="474">
        <f>H111*$E$120*1000</f>
        <v>84.28</v>
      </c>
      <c r="E102" s="474">
        <f>K111*$E$120*1000/$E$121</f>
        <v>114.81235186873293</v>
      </c>
      <c r="F102" s="451">
        <f>1000*F157*E120/32</f>
        <v>29.831250000000001</v>
      </c>
      <c r="G102" s="451">
        <f>1000*E157*E120/32</f>
        <v>35.475000000000001</v>
      </c>
    </row>
    <row r="103" spans="3:11">
      <c r="C103" s="23">
        <v>2025</v>
      </c>
      <c r="D103" s="474">
        <f t="shared" ref="D103:D108" si="10">H112*$E$120*1000</f>
        <v>73.959999999999994</v>
      </c>
      <c r="E103" s="474">
        <f t="shared" ref="E103:E108" si="11">K112*$E$120*1000/$E$121</f>
        <v>97.840679124886066</v>
      </c>
    </row>
    <row r="104" spans="3:11">
      <c r="C104" s="23">
        <v>2030</v>
      </c>
      <c r="D104" s="474">
        <f t="shared" si="10"/>
        <v>62.779999999999987</v>
      </c>
      <c r="E104" s="474">
        <f t="shared" si="11"/>
        <v>87.022082953509567</v>
      </c>
      <c r="F104" s="451">
        <f>1000*F158*E120/32</f>
        <v>27.412499999999998</v>
      </c>
      <c r="G104" s="451">
        <f>1000*E158*E120/32</f>
        <v>32.787500000000001</v>
      </c>
    </row>
    <row r="105" spans="3:11">
      <c r="C105" s="23">
        <v>2035</v>
      </c>
      <c r="D105" s="474">
        <f t="shared" si="10"/>
        <v>57.620000000000005</v>
      </c>
      <c r="E105" s="474">
        <f t="shared" si="11"/>
        <v>81.545168641750237</v>
      </c>
    </row>
    <row r="106" spans="3:11">
      <c r="C106" s="23">
        <v>2040</v>
      </c>
      <c r="D106" s="474">
        <f t="shared" si="10"/>
        <v>53.32</v>
      </c>
      <c r="E106" s="474">
        <f t="shared" si="11"/>
        <v>76.879649042844136</v>
      </c>
    </row>
    <row r="107" spans="3:11">
      <c r="C107" s="23">
        <v>2045</v>
      </c>
      <c r="D107" s="474">
        <f t="shared" si="10"/>
        <v>49.02</v>
      </c>
      <c r="E107" s="474">
        <f t="shared" si="11"/>
        <v>69.91517775752051</v>
      </c>
    </row>
    <row r="108" spans="3:11">
      <c r="C108" s="27">
        <v>2050</v>
      </c>
      <c r="D108" s="475">
        <f t="shared" si="10"/>
        <v>45.58</v>
      </c>
      <c r="E108" s="475">
        <f t="shared" si="11"/>
        <v>63.085938924339104</v>
      </c>
      <c r="F108" s="27"/>
      <c r="G108" s="27"/>
    </row>
    <row r="110" spans="3:11" ht="28.8">
      <c r="C110" s="470" t="s">
        <v>620</v>
      </c>
      <c r="D110" s="470" t="s">
        <v>673</v>
      </c>
      <c r="E110" s="470" t="s">
        <v>674</v>
      </c>
      <c r="F110" s="470" t="s">
        <v>675</v>
      </c>
      <c r="G110" s="470" t="s">
        <v>676</v>
      </c>
      <c r="H110" s="470" t="s">
        <v>677</v>
      </c>
      <c r="I110" s="470" t="s">
        <v>678</v>
      </c>
      <c r="J110" s="470" t="s">
        <v>679</v>
      </c>
      <c r="K110" s="470" t="s">
        <v>680</v>
      </c>
    </row>
    <row r="111" spans="3:11">
      <c r="C111" s="471">
        <v>2020</v>
      </c>
      <c r="D111" s="471">
        <v>6.9000000000000006E-2</v>
      </c>
      <c r="E111" s="471">
        <v>8.7759999999999998</v>
      </c>
      <c r="F111" s="471">
        <v>6.53</v>
      </c>
      <c r="G111" s="471">
        <v>11.91</v>
      </c>
      <c r="H111" s="471">
        <v>9.8000000000000004E-2</v>
      </c>
      <c r="I111" s="471">
        <v>12.436999999999999</v>
      </c>
      <c r="J111" s="471">
        <v>8.73</v>
      </c>
      <c r="K111" s="471">
        <v>16.98</v>
      </c>
    </row>
    <row r="112" spans="3:11">
      <c r="C112" s="471">
        <v>2025</v>
      </c>
      <c r="D112" s="471">
        <v>6.0999999999999999E-2</v>
      </c>
      <c r="E112" s="471">
        <v>7.7539999999999996</v>
      </c>
      <c r="F112" s="471">
        <v>5.52</v>
      </c>
      <c r="G112" s="471">
        <v>10.67</v>
      </c>
      <c r="H112" s="471">
        <v>8.5999999999999993E-2</v>
      </c>
      <c r="I112" s="471">
        <v>10.817</v>
      </c>
      <c r="J112" s="471">
        <v>7.71</v>
      </c>
      <c r="K112" s="471">
        <v>14.47</v>
      </c>
    </row>
    <row r="113" spans="3:11">
      <c r="C113" s="471">
        <v>2030</v>
      </c>
      <c r="D113" s="471">
        <v>5.3999999999999999E-2</v>
      </c>
      <c r="E113" s="471">
        <v>6.7789999999999999</v>
      </c>
      <c r="F113" s="471">
        <v>4.7</v>
      </c>
      <c r="G113" s="471">
        <v>9.39</v>
      </c>
      <c r="H113" s="471">
        <v>7.2999999999999995E-2</v>
      </c>
      <c r="I113" s="471">
        <v>9.2840000000000007</v>
      </c>
      <c r="J113" s="471">
        <v>6.23</v>
      </c>
      <c r="K113" s="471">
        <v>12.87</v>
      </c>
    </row>
    <row r="114" spans="3:11">
      <c r="C114" s="471">
        <v>2035</v>
      </c>
      <c r="D114" s="471">
        <v>4.7E-2</v>
      </c>
      <c r="E114" s="471">
        <v>5.9930000000000003</v>
      </c>
      <c r="F114" s="471">
        <v>4.04</v>
      </c>
      <c r="G114" s="471">
        <v>8.6999999999999993</v>
      </c>
      <c r="H114" s="471">
        <v>6.7000000000000004E-2</v>
      </c>
      <c r="I114" s="471">
        <v>8.5250000000000004</v>
      </c>
      <c r="J114" s="471">
        <v>5.56</v>
      </c>
      <c r="K114" s="471">
        <v>12.06</v>
      </c>
    </row>
    <row r="115" spans="3:11">
      <c r="C115" s="471">
        <v>2040</v>
      </c>
      <c r="D115" s="471">
        <v>4.2000000000000003E-2</v>
      </c>
      <c r="E115" s="471">
        <v>5.2670000000000003</v>
      </c>
      <c r="F115" s="471">
        <v>3.46</v>
      </c>
      <c r="G115" s="471">
        <v>8.0399999999999991</v>
      </c>
      <c r="H115" s="471">
        <v>6.2E-2</v>
      </c>
      <c r="I115" s="471">
        <v>7.8780000000000001</v>
      </c>
      <c r="J115" s="471">
        <v>4.96</v>
      </c>
      <c r="K115" s="471">
        <v>11.37</v>
      </c>
    </row>
    <row r="116" spans="3:11">
      <c r="C116" s="471">
        <v>2045</v>
      </c>
      <c r="D116" s="471">
        <v>3.6999999999999998E-2</v>
      </c>
      <c r="E116" s="471">
        <v>4.6139999999999999</v>
      </c>
      <c r="F116" s="471">
        <v>2.95</v>
      </c>
      <c r="G116" s="471">
        <v>7.41</v>
      </c>
      <c r="H116" s="471">
        <v>5.7000000000000002E-2</v>
      </c>
      <c r="I116" s="471">
        <v>7.2640000000000002</v>
      </c>
      <c r="J116" s="471">
        <v>4.37</v>
      </c>
      <c r="K116" s="471">
        <v>10.34</v>
      </c>
    </row>
    <row r="117" spans="3:11">
      <c r="C117" s="471">
        <v>2050</v>
      </c>
      <c r="D117" s="471">
        <v>3.2000000000000001E-2</v>
      </c>
      <c r="E117" s="471">
        <v>4.0250000000000004</v>
      </c>
      <c r="F117" s="471">
        <v>2.5</v>
      </c>
      <c r="G117" s="471">
        <v>6.78</v>
      </c>
      <c r="H117" s="471">
        <v>5.2999999999999999E-2</v>
      </c>
      <c r="I117" s="471">
        <v>6.7210000000000001</v>
      </c>
      <c r="J117" s="471">
        <v>3.85</v>
      </c>
      <c r="K117" s="471">
        <v>9.33</v>
      </c>
    </row>
    <row r="120" spans="3:11">
      <c r="D120" s="23" t="s">
        <v>681</v>
      </c>
      <c r="E120" s="23">
        <v>0.86</v>
      </c>
    </row>
    <row r="121" spans="3:11">
      <c r="D121" s="23" t="s">
        <v>682</v>
      </c>
      <c r="E121" s="472">
        <f>E111/D111</f>
        <v>127.18840579710144</v>
      </c>
      <c r="G121" s="472"/>
    </row>
    <row r="122" spans="3:11">
      <c r="E122" s="472"/>
      <c r="G122" s="472"/>
    </row>
    <row r="123" spans="3:11">
      <c r="E123" s="472"/>
      <c r="G123" s="472"/>
    </row>
    <row r="124" spans="3:11">
      <c r="E124" s="472"/>
      <c r="G124" s="472"/>
    </row>
    <row r="125" spans="3:11">
      <c r="E125" s="472"/>
      <c r="G125" s="472"/>
    </row>
    <row r="126" spans="3:11">
      <c r="E126" s="472"/>
      <c r="G126" s="472"/>
    </row>
    <row r="127" spans="3:11">
      <c r="C127" s="23" t="s">
        <v>687</v>
      </c>
      <c r="D127" s="23" t="s">
        <v>686</v>
      </c>
      <c r="E127" s="472"/>
      <c r="G127" s="472"/>
    </row>
    <row r="128" spans="3:11">
      <c r="E128" s="472"/>
      <c r="G128" s="472"/>
    </row>
    <row r="129" spans="5:5">
      <c r="E129" s="472"/>
    </row>
    <row r="154" spans="3:6" ht="28.8">
      <c r="C154" s="470" t="s">
        <v>688</v>
      </c>
      <c r="D154" s="470" t="s">
        <v>689</v>
      </c>
      <c r="E154" s="470" t="s">
        <v>690</v>
      </c>
      <c r="F154" s="470" t="s">
        <v>691</v>
      </c>
    </row>
    <row r="155" spans="3:6" ht="28.8">
      <c r="C155" s="471" t="s">
        <v>692</v>
      </c>
      <c r="D155" s="471">
        <v>0.3</v>
      </c>
      <c r="E155" s="471">
        <v>0.82</v>
      </c>
      <c r="F155" s="471">
        <v>0.55000000000000004</v>
      </c>
    </row>
    <row r="156" spans="3:6" ht="28.8">
      <c r="C156" s="471" t="s">
        <v>693</v>
      </c>
      <c r="D156" s="471">
        <v>0.42</v>
      </c>
      <c r="E156" s="471">
        <v>0.95</v>
      </c>
      <c r="F156" s="471" t="s">
        <v>694</v>
      </c>
    </row>
    <row r="157" spans="3:6" ht="28.8">
      <c r="C157" s="471" t="s">
        <v>695</v>
      </c>
      <c r="D157" s="471">
        <v>0.92</v>
      </c>
      <c r="E157" s="471">
        <v>1.32</v>
      </c>
      <c r="F157" s="471">
        <v>1.1100000000000001</v>
      </c>
    </row>
    <row r="158" spans="3:6" ht="28.8">
      <c r="C158" s="471" t="s">
        <v>696</v>
      </c>
      <c r="D158" s="471">
        <v>0.85</v>
      </c>
      <c r="E158" s="471">
        <v>1.22</v>
      </c>
      <c r="F158" s="471">
        <v>1.02</v>
      </c>
    </row>
  </sheetData>
  <mergeCells count="6">
    <mergeCell ref="G24:J24"/>
    <mergeCell ref="K24:L24"/>
    <mergeCell ref="M24:N24"/>
    <mergeCell ref="G42:J42"/>
    <mergeCell ref="K42:L42"/>
    <mergeCell ref="M42:N4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F926-DECD-4DB2-B495-3F9BFC1DFD4C}">
  <dimension ref="B2:J18"/>
  <sheetViews>
    <sheetView workbookViewId="0">
      <selection activeCell="I10" sqref="I10"/>
    </sheetView>
  </sheetViews>
  <sheetFormatPr defaultRowHeight="14.4"/>
  <cols>
    <col min="2" max="2" width="14.77734375" customWidth="1"/>
    <col min="3" max="3" width="19.77734375" customWidth="1"/>
    <col min="4" max="4" width="26.77734375" customWidth="1"/>
    <col min="5" max="5" width="15.77734375" bestFit="1" customWidth="1"/>
    <col min="6" max="6" width="22" customWidth="1"/>
    <col min="7" max="7" width="18.77734375" customWidth="1"/>
    <col min="9" max="9" width="13.21875" bestFit="1" customWidth="1"/>
    <col min="11" max="11" width="16.21875" customWidth="1"/>
  </cols>
  <sheetData>
    <row r="2" spans="2:10">
      <c r="B2" s="169" t="s">
        <v>0</v>
      </c>
      <c r="C2" s="169"/>
      <c r="D2" s="170"/>
      <c r="E2" s="170"/>
      <c r="F2" s="170"/>
      <c r="G2" s="170"/>
      <c r="H2" s="170"/>
      <c r="I2" s="170"/>
      <c r="J2" s="170"/>
    </row>
    <row r="3" spans="2:10" ht="15" thickBot="1">
      <c r="B3" s="166" t="s">
        <v>1</v>
      </c>
      <c r="C3" s="166" t="s">
        <v>513</v>
      </c>
      <c r="D3" s="166" t="s">
        <v>2</v>
      </c>
      <c r="E3" s="166" t="s">
        <v>3</v>
      </c>
      <c r="F3" s="166" t="s">
        <v>4</v>
      </c>
      <c r="G3" s="166" t="s">
        <v>5</v>
      </c>
      <c r="H3" s="166" t="s">
        <v>6</v>
      </c>
      <c r="I3" s="166" t="s">
        <v>7</v>
      </c>
      <c r="J3" s="166" t="s">
        <v>8</v>
      </c>
    </row>
    <row r="4" spans="2:10" ht="55.2">
      <c r="B4" s="172" t="s">
        <v>133</v>
      </c>
      <c r="C4" s="171"/>
      <c r="D4" s="171" t="s">
        <v>351</v>
      </c>
      <c r="E4" s="171" t="s">
        <v>280</v>
      </c>
      <c r="F4" s="171" t="s">
        <v>352</v>
      </c>
      <c r="G4" s="171" t="s">
        <v>353</v>
      </c>
      <c r="H4" s="171" t="s">
        <v>354</v>
      </c>
      <c r="I4" s="173" t="s">
        <v>355</v>
      </c>
      <c r="J4" s="173" t="s">
        <v>134</v>
      </c>
    </row>
    <row r="5" spans="2:10">
      <c r="B5" t="s">
        <v>9</v>
      </c>
      <c r="C5" t="str">
        <f>_xlfn.TEXTJOIN(",",TRUE,IF(LEFT(Regions!$C$3,1)&lt;&gt;"*",Regions!$C$3,""),IF(LEFT(Regions!$D$3,1)&lt;&gt;"*",Regions!$D$3,""))</f>
        <v>IE,National</v>
      </c>
      <c r="D5" t="s">
        <v>629</v>
      </c>
      <c r="E5" s="434" t="s">
        <v>650</v>
      </c>
      <c r="F5" t="s">
        <v>10</v>
      </c>
      <c r="G5" t="s">
        <v>628</v>
      </c>
    </row>
    <row r="6" spans="2:10">
      <c r="E6" s="434"/>
    </row>
    <row r="9" spans="2:10">
      <c r="E9" s="169" t="s">
        <v>58</v>
      </c>
      <c r="G9" s="2"/>
    </row>
    <row r="10" spans="2:10" ht="15" thickBot="1">
      <c r="B10" s="166" t="s">
        <v>513</v>
      </c>
      <c r="C10" s="166" t="s">
        <v>2</v>
      </c>
      <c r="D10" s="166" t="s">
        <v>3</v>
      </c>
      <c r="E10" s="166" t="s">
        <v>38</v>
      </c>
      <c r="F10" s="166" t="s">
        <v>51</v>
      </c>
      <c r="G10" s="166" t="s">
        <v>630</v>
      </c>
      <c r="H10" s="461" t="s">
        <v>663</v>
      </c>
      <c r="I10" s="461" t="s">
        <v>208</v>
      </c>
    </row>
    <row r="11" spans="2:10">
      <c r="B11" s="172" t="s">
        <v>515</v>
      </c>
      <c r="C11" s="172" t="s">
        <v>46</v>
      </c>
      <c r="D11" s="172" t="s">
        <v>47</v>
      </c>
      <c r="E11" s="172"/>
      <c r="F11" s="172" t="s">
        <v>10</v>
      </c>
      <c r="G11" s="172" t="s">
        <v>54</v>
      </c>
    </row>
    <row r="12" spans="2:10">
      <c r="B12" s="2" t="str">
        <f>Processes!C61</f>
        <v>IE,National</v>
      </c>
      <c r="C12" s="2" t="str">
        <f>D5</f>
        <v>MINCO2-CAL</v>
      </c>
      <c r="D12" s="434" t="s">
        <v>650</v>
      </c>
      <c r="E12" s="255" t="s">
        <v>631</v>
      </c>
      <c r="F12" s="55">
        <v>1000000</v>
      </c>
      <c r="G12" s="435">
        <v>1E-4</v>
      </c>
      <c r="H12">
        <v>0</v>
      </c>
      <c r="I12">
        <v>5</v>
      </c>
    </row>
    <row r="13" spans="2:10">
      <c r="E13" t="s">
        <v>632</v>
      </c>
    </row>
    <row r="14" spans="2:10">
      <c r="E14" t="s">
        <v>633</v>
      </c>
    </row>
    <row r="15" spans="2:10">
      <c r="E15" t="s">
        <v>634</v>
      </c>
    </row>
    <row r="16" spans="2:10">
      <c r="E16" t="s">
        <v>635</v>
      </c>
    </row>
    <row r="17" spans="2:7">
      <c r="E17" t="s">
        <v>636</v>
      </c>
    </row>
    <row r="18" spans="2:7">
      <c r="B18" s="23"/>
      <c r="C18" s="23"/>
      <c r="D18" s="23"/>
      <c r="E18" t="s">
        <v>637</v>
      </c>
      <c r="F18" s="23"/>
      <c r="G18" s="23"/>
    </row>
  </sheetData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2:W80"/>
  <sheetViews>
    <sheetView tabSelected="1" topLeftCell="A29" zoomScale="70" zoomScaleNormal="70" workbookViewId="0">
      <selection activeCell="J26" sqref="J26"/>
    </sheetView>
  </sheetViews>
  <sheetFormatPr defaultColWidth="9.21875" defaultRowHeight="14.4"/>
  <cols>
    <col min="1" max="1" width="3.77734375" style="23" customWidth="1"/>
    <col min="2" max="2" width="9.44140625" style="23" customWidth="1"/>
    <col min="3" max="3" width="14.44140625" style="23" customWidth="1"/>
    <col min="4" max="4" width="31.77734375" style="23" customWidth="1"/>
    <col min="5" max="5" width="11.44140625" style="23" customWidth="1"/>
    <col min="6" max="6" width="10.77734375" style="23" customWidth="1"/>
    <col min="7" max="7" width="13.6640625" style="23" customWidth="1"/>
    <col min="8" max="8" width="16.77734375" style="23" customWidth="1"/>
    <col min="9" max="9" width="15.6640625" style="23" customWidth="1"/>
    <col min="10" max="10" width="14.77734375" style="23" customWidth="1"/>
    <col min="11" max="11" width="18.6640625" style="23" customWidth="1"/>
    <col min="12" max="12" width="16.77734375" style="23" customWidth="1"/>
    <col min="13" max="13" width="19.88671875" style="23" customWidth="1"/>
    <col min="14" max="14" width="12.77734375" style="23" customWidth="1"/>
    <col min="15" max="16" width="13" style="23" customWidth="1"/>
    <col min="17" max="17" width="21.77734375" style="23" customWidth="1"/>
    <col min="18" max="18" width="29.5546875" style="23" bestFit="1" customWidth="1"/>
    <col min="19" max="22" width="9.21875" style="23"/>
    <col min="23" max="23" width="14.5546875" style="23" bestFit="1" customWidth="1"/>
    <col min="24" max="24" width="29.5546875" style="23" bestFit="1" customWidth="1"/>
    <col min="25" max="16384" width="9.21875" style="23"/>
  </cols>
  <sheetData>
    <row r="2" spans="2:12" ht="18">
      <c r="B2" s="3" t="s">
        <v>81</v>
      </c>
      <c r="C2" s="3"/>
      <c r="D2" s="3"/>
      <c r="E2" s="5" t="s">
        <v>596</v>
      </c>
      <c r="F2" s="92"/>
      <c r="G2" s="92"/>
      <c r="H2" s="22"/>
      <c r="I2" s="22"/>
      <c r="J2" s="22"/>
      <c r="K2" s="22"/>
      <c r="L2" s="22"/>
    </row>
    <row r="3" spans="2:12">
      <c r="B3" s="6" t="s">
        <v>513</v>
      </c>
      <c r="C3" s="6" t="s">
        <v>2</v>
      </c>
      <c r="D3" s="6" t="s">
        <v>545</v>
      </c>
      <c r="E3" s="6" t="s">
        <v>38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38" t="s">
        <v>66</v>
      </c>
    </row>
    <row r="4" spans="2:12" ht="32.700000000000003" customHeight="1" thickBot="1">
      <c r="B4" s="9" t="s">
        <v>514</v>
      </c>
      <c r="C4" s="9" t="s">
        <v>59</v>
      </c>
      <c r="D4" s="9" t="s">
        <v>47</v>
      </c>
      <c r="E4" s="9" t="s">
        <v>48</v>
      </c>
      <c r="F4" s="8" t="s">
        <v>49</v>
      </c>
      <c r="G4" s="8" t="s">
        <v>49</v>
      </c>
      <c r="H4" s="8" t="s">
        <v>49</v>
      </c>
      <c r="I4" s="8" t="s">
        <v>49</v>
      </c>
      <c r="J4" s="8" t="s">
        <v>49</v>
      </c>
      <c r="K4" s="8" t="s">
        <v>49</v>
      </c>
      <c r="L4" s="93"/>
    </row>
    <row r="5" spans="2:12">
      <c r="B5" s="21" t="str">
        <f>Processes!C23</f>
        <v>IE,National</v>
      </c>
      <c r="C5" s="21" t="str">
        <f>Processes!D23</f>
        <v>IMPBIOETH1G_S1</v>
      </c>
      <c r="D5" s="22" t="str">
        <f>Processes!E23</f>
        <v>Import of Ethanol 1st generation  - Step 1</v>
      </c>
      <c r="E5" s="22" t="str">
        <f>Commodities!$C$30</f>
        <v>BIOETH1G</v>
      </c>
      <c r="F5" s="50">
        <f>'SEAI-AEA_BioData'!K$23</f>
        <v>18.176172733352441</v>
      </c>
      <c r="G5" s="50">
        <f>'SEAI-AEA_BioData'!L$23</f>
        <v>17.579057991783699</v>
      </c>
      <c r="H5" s="50">
        <f>'SEAI-AEA_BioData'!M$23</f>
        <v>16.599789815610968</v>
      </c>
      <c r="I5" s="50">
        <f>'SEAI-AEA_BioData'!N$23</f>
        <v>15.883252125728479</v>
      </c>
      <c r="J5" s="50"/>
      <c r="K5" s="50"/>
      <c r="L5" s="22"/>
    </row>
    <row r="6" spans="2:12">
      <c r="B6" s="21" t="str">
        <f>Processes!C24</f>
        <v>IE,National</v>
      </c>
      <c r="C6" s="21" t="str">
        <f>Processes!D24</f>
        <v>IMPBIOETH1G_S2</v>
      </c>
      <c r="D6" s="22" t="str">
        <f>Processes!E24</f>
        <v>Import of Ethanol 1st generation  - Step 2</v>
      </c>
      <c r="E6" s="22" t="str">
        <f>Commodities!$C$30</f>
        <v>BIOETH1G</v>
      </c>
      <c r="F6" s="50">
        <f>'SEAI-AEA_BioData'!K$33</f>
        <v>18.916595012897677</v>
      </c>
      <c r="G6" s="50">
        <f>'SEAI-AEA_BioData'!L$33</f>
        <v>19.083787140536923</v>
      </c>
      <c r="H6" s="50">
        <f>'SEAI-AEA_BioData'!M$33</f>
        <v>18.916595012897677</v>
      </c>
      <c r="I6" s="50">
        <f>'SEAI-AEA_BioData'!N$33</f>
        <v>19.131556319862423</v>
      </c>
      <c r="J6" s="50">
        <f>I6*Imports_Fossil!$I$37/Imports_Fossil!$H$37</f>
        <v>20.390211340906003</v>
      </c>
      <c r="K6" s="50">
        <f>I6*Imports_Fossil!$J$37/Imports_Fossil!$H$37</f>
        <v>21.397135357740865</v>
      </c>
      <c r="L6" s="22"/>
    </row>
    <row r="7" spans="2:12">
      <c r="B7" s="22" t="str">
        <f>Processes!C25</f>
        <v>IE,National</v>
      </c>
      <c r="C7" s="22" t="str">
        <f>Processes!D25</f>
        <v>IMPBIOETH1G_S3</v>
      </c>
      <c r="D7" s="22" t="str">
        <f>Processes!E25</f>
        <v>Import of Ethanol 1st generation  - Step 3</v>
      </c>
      <c r="E7" s="22" t="str">
        <f>Commodities!$C$30</f>
        <v>BIOETH1G</v>
      </c>
      <c r="F7" s="50">
        <f>'SEAI-AEA_BioData'!K$44</f>
        <v>19.680901882105665</v>
      </c>
      <c r="G7" s="50">
        <f>'SEAI-AEA_BioData'!L$44</f>
        <v>20.684054647941146</v>
      </c>
      <c r="H7" s="50">
        <f>'SEAI-AEA_BioData'!M$44</f>
        <v>21.758861182764878</v>
      </c>
      <c r="I7" s="50">
        <f>'SEAI-AEA_BioData'!N$44</f>
        <v>23.550205407471097</v>
      </c>
      <c r="J7" s="50">
        <f>I7*Imports_Fossil!$I$37/Imports_Fossil!$H$37</f>
        <v>25.099561026383665</v>
      </c>
      <c r="K7" s="50">
        <f>I7*Imports_Fossil!$J$37/Imports_Fossil!$H$37</f>
        <v>26.339045521513725</v>
      </c>
      <c r="L7" s="22"/>
    </row>
    <row r="8" spans="2:12">
      <c r="B8" s="39" t="str">
        <f>Processes!C26</f>
        <v>IE,National</v>
      </c>
      <c r="C8" s="39" t="str">
        <f>Processes!D26</f>
        <v>IMPBIOETH1G_S4</v>
      </c>
      <c r="D8" s="39" t="str">
        <f>Processes!E26</f>
        <v>Import of Ethanol 1st generation  - Step 4</v>
      </c>
      <c r="E8" s="39" t="str">
        <f>Commodities!$C$30</f>
        <v>BIOETH1G</v>
      </c>
      <c r="F8" s="51">
        <f>'SEAI-AEA_BioData'!K$55</f>
        <v>20.636285468615647</v>
      </c>
      <c r="G8" s="51">
        <f>'SEAI-AEA_BioData'!L$55</f>
        <v>22.714244769274863</v>
      </c>
      <c r="H8" s="51">
        <f>'SEAI-AEA_BioData'!M$55</f>
        <v>25.174357504538072</v>
      </c>
      <c r="I8" s="51">
        <f>'SEAI-AEA_BioData'!N$55</f>
        <v>28.757045953950509</v>
      </c>
      <c r="J8" s="51">
        <f>I8*Imports_Fossil!$I$37/Imports_Fossil!$H$37</f>
        <v>30.648956871973571</v>
      </c>
      <c r="K8" s="51">
        <f>I8*Imports_Fossil!$J$37/Imports_Fossil!$H$37</f>
        <v>32.162485606392018</v>
      </c>
      <c r="L8" s="39"/>
    </row>
    <row r="9" spans="2:12">
      <c r="B9" s="22" t="str">
        <f>Processes!C27</f>
        <v>IE,National</v>
      </c>
      <c r="C9" s="22" t="str">
        <f>Processes!D27</f>
        <v>IMPBIODST1G_S1</v>
      </c>
      <c r="D9" s="22" t="str">
        <f>Processes!E27</f>
        <v>Import of Biodiesel 1st generation  - Step 1</v>
      </c>
      <c r="E9" s="22" t="str">
        <f>Commodities!$C$32</f>
        <v>BIODST1G</v>
      </c>
      <c r="F9" s="50">
        <f>'SEAI-AEA_BioData'!K$25</f>
        <v>31.360466227190216</v>
      </c>
      <c r="G9" s="50">
        <f>'SEAI-AEA_BioData'!L$25</f>
        <v>33.175695041559187</v>
      </c>
      <c r="H9" s="50">
        <f>'SEAI-AEA_BioData'!M$25</f>
        <v>31.862042610107956</v>
      </c>
      <c r="I9" s="50">
        <f>'SEAI-AEA_BioData'!N$25</f>
        <v>31.336581637527466</v>
      </c>
      <c r="J9" s="50"/>
      <c r="K9" s="50"/>
      <c r="L9" s="22"/>
    </row>
    <row r="10" spans="2:12">
      <c r="B10" s="22" t="str">
        <f>Processes!C28</f>
        <v>IE,National</v>
      </c>
      <c r="C10" s="22" t="str">
        <f>Processes!D28</f>
        <v>IMPBIODST1G_S2</v>
      </c>
      <c r="D10" s="22" t="str">
        <f>Processes!E28</f>
        <v>Import of Biodiesel 1st generation  - Step 2</v>
      </c>
      <c r="E10" s="22" t="str">
        <f>Commodities!$C$32</f>
        <v>BIODST1G</v>
      </c>
      <c r="F10" s="50">
        <f>'SEAI-AEA_BioData'!K$35</f>
        <v>32.650234068978691</v>
      </c>
      <c r="G10" s="50">
        <f>'SEAI-AEA_BioData'!L$35</f>
        <v>35.826884494124393</v>
      </c>
      <c r="H10" s="50">
        <f>'SEAI-AEA_BioData'!M$35</f>
        <v>35.97019203210089</v>
      </c>
      <c r="I10" s="50">
        <f>'SEAI-AEA_BioData'!N$35</f>
        <v>37.021113977261869</v>
      </c>
      <c r="J10" s="50">
        <f>I10*Imports_Fossil!$I$37/Imports_Fossil!$H$37</f>
        <v>39.456713581029099</v>
      </c>
      <c r="K10" s="50">
        <f>I10*Imports_Fossil!$J$37/Imports_Fossil!$H$37</f>
        <v>41.405193264042879</v>
      </c>
      <c r="L10" s="22"/>
    </row>
    <row r="11" spans="2:12">
      <c r="B11" s="22" t="str">
        <f>Processes!C29</f>
        <v>IE,National</v>
      </c>
      <c r="C11" s="22" t="str">
        <f>Processes!D29</f>
        <v>IMPBIODST1G_S3</v>
      </c>
      <c r="D11" s="22" t="str">
        <f>Processes!E29</f>
        <v>Import of Biodiesel 1st generation  - Step 3</v>
      </c>
      <c r="E11" s="22" t="str">
        <f>Commodities!$C$32</f>
        <v>BIODST1G</v>
      </c>
      <c r="F11" s="50">
        <f>'SEAI-AEA_BioData'!K$46</f>
        <v>33.916117321104423</v>
      </c>
      <c r="G11" s="50">
        <f>'SEAI-AEA_BioData'!L$46</f>
        <v>38.334766408713094</v>
      </c>
      <c r="H11" s="50">
        <f>'SEAI-AEA_BioData'!M$46</f>
        <v>40.460494888697809</v>
      </c>
      <c r="I11" s="50">
        <f>'SEAI-AEA_BioData'!N$46</f>
        <v>43.756568262157252</v>
      </c>
      <c r="J11" s="50">
        <f>I11*Imports_Fossil!$I$37/Imports_Fossil!$H$37</f>
        <v>46.635289858351811</v>
      </c>
      <c r="K11" s="50">
        <f>I11*Imports_Fossil!$J$37/Imports_Fossil!$H$37</f>
        <v>48.938267135307449</v>
      </c>
      <c r="L11" s="22"/>
    </row>
    <row r="12" spans="2:12">
      <c r="B12" s="39" t="str">
        <f>Processes!C30</f>
        <v>IE,National</v>
      </c>
      <c r="C12" s="39" t="str">
        <f>Processes!D30</f>
        <v>IMPBIODST1G_S4</v>
      </c>
      <c r="D12" s="39" t="str">
        <f>Processes!E30</f>
        <v>Import of Biodiesel 1st generation  - Step 4</v>
      </c>
      <c r="E12" s="39" t="str">
        <f>Commodities!$C$32</f>
        <v>BIODST1G</v>
      </c>
      <c r="F12" s="51">
        <f>'SEAI-AEA_BioData'!K$57</f>
        <v>35.540269418171391</v>
      </c>
      <c r="G12" s="51">
        <f>'SEAI-AEA_BioData'!L$57</f>
        <v>41.917454858125538</v>
      </c>
      <c r="H12" s="51">
        <f>'SEAI-AEA_BioData'!M$57</f>
        <v>46.527180663036205</v>
      </c>
      <c r="I12" s="51">
        <f>'SEAI-AEA_BioData'!N$57</f>
        <v>52.832712334002096</v>
      </c>
      <c r="J12" s="51">
        <f>I12*Imports_Fossil!$I$37/Imports_Fossil!$H$37</f>
        <v>56.308548671765386</v>
      </c>
      <c r="K12" s="51">
        <f>I12*Imports_Fossil!$J$37/Imports_Fossil!$H$37</f>
        <v>59.089217741976029</v>
      </c>
      <c r="L12" s="39"/>
    </row>
    <row r="13" spans="2:12">
      <c r="B13" s="443" t="str">
        <f>Processes!C33</f>
        <v>IE,National</v>
      </c>
      <c r="C13" s="443" t="str">
        <f>Processes!D33</f>
        <v>IMPBIOWPE_S1</v>
      </c>
      <c r="D13" s="443" t="str">
        <f>Processes!E33</f>
        <v>Import of Wood Pellets  - Step 1</v>
      </c>
      <c r="E13" s="443" t="str">
        <f>Commodities!$C$42</f>
        <v>BIOWPE</v>
      </c>
      <c r="F13" s="440">
        <f t="shared" ref="F13:K13" si="0">$F$68</f>
        <v>9.6388888888888893</v>
      </c>
      <c r="G13" s="440">
        <f t="shared" si="0"/>
        <v>9.6388888888888893</v>
      </c>
      <c r="H13" s="440">
        <f t="shared" si="0"/>
        <v>9.6388888888888893</v>
      </c>
      <c r="I13" s="440">
        <f t="shared" si="0"/>
        <v>9.6388888888888893</v>
      </c>
      <c r="J13" s="440">
        <f t="shared" si="0"/>
        <v>9.6388888888888893</v>
      </c>
      <c r="K13" s="440">
        <f t="shared" si="0"/>
        <v>9.6388888888888893</v>
      </c>
      <c r="L13" s="443"/>
    </row>
    <row r="14" spans="2:12">
      <c r="B14" s="443" t="str">
        <f>Processes!C34</f>
        <v>IE,National</v>
      </c>
      <c r="C14" s="443" t="str">
        <f>Processes!D34</f>
        <v>IMPBIOWPE_S2</v>
      </c>
      <c r="D14" s="443" t="str">
        <f>Processes!E34</f>
        <v>Import of Wood Pellets  - Step 2</v>
      </c>
      <c r="E14" s="443" t="str">
        <f>Commodities!$C$42</f>
        <v>BIOWPE</v>
      </c>
      <c r="F14" s="440">
        <f t="shared" ref="F14:K14" si="1">$F$69</f>
        <v>9.6388888888888893</v>
      </c>
      <c r="G14" s="440">
        <f t="shared" si="1"/>
        <v>9.6388888888888893</v>
      </c>
      <c r="H14" s="440">
        <f t="shared" si="1"/>
        <v>9.6388888888888893</v>
      </c>
      <c r="I14" s="440">
        <f t="shared" si="1"/>
        <v>9.6388888888888893</v>
      </c>
      <c r="J14" s="440">
        <f t="shared" si="1"/>
        <v>9.6388888888888893</v>
      </c>
      <c r="K14" s="440">
        <f t="shared" si="1"/>
        <v>9.6388888888888893</v>
      </c>
      <c r="L14" s="443"/>
    </row>
    <row r="15" spans="2:12">
      <c r="B15" s="443" t="str">
        <f>Processes!C35</f>
        <v>IE,National</v>
      </c>
      <c r="C15" s="443" t="str">
        <f>Processes!D35</f>
        <v>IMPBIOWPE_S3</v>
      </c>
      <c r="D15" s="443" t="str">
        <f>Processes!E35</f>
        <v>Import of Wood Pellets  - Step 3</v>
      </c>
      <c r="E15" s="443" t="str">
        <f>Commodities!$C$42</f>
        <v>BIOWPE</v>
      </c>
      <c r="F15" s="440">
        <f t="shared" ref="F15:K15" si="2">$F$70</f>
        <v>10.166666666666666</v>
      </c>
      <c r="G15" s="440">
        <f t="shared" si="2"/>
        <v>10.166666666666666</v>
      </c>
      <c r="H15" s="440">
        <f t="shared" si="2"/>
        <v>10.166666666666666</v>
      </c>
      <c r="I15" s="440">
        <f t="shared" si="2"/>
        <v>10.166666666666666</v>
      </c>
      <c r="J15" s="440">
        <f t="shared" si="2"/>
        <v>10.166666666666666</v>
      </c>
      <c r="K15" s="440">
        <f t="shared" si="2"/>
        <v>10.166666666666666</v>
      </c>
      <c r="L15" s="443"/>
    </row>
    <row r="16" spans="2:12">
      <c r="B16" s="438" t="str">
        <f>Processes!C36</f>
        <v>IE,National</v>
      </c>
      <c r="C16" s="438" t="str">
        <f>Processes!D36</f>
        <v>IMPBIOWPE_S4</v>
      </c>
      <c r="D16" s="438" t="str">
        <f>Processes!E36</f>
        <v>Import of Wood Pellets  - Step 4</v>
      </c>
      <c r="E16" s="438" t="str">
        <f>Commodities!$C$42</f>
        <v>BIOWPE</v>
      </c>
      <c r="F16" s="442">
        <f t="shared" ref="F16:K16" si="3">$F$71</f>
        <v>11.194444444444443</v>
      </c>
      <c r="G16" s="442">
        <f t="shared" si="3"/>
        <v>11.194444444444443</v>
      </c>
      <c r="H16" s="442">
        <f t="shared" si="3"/>
        <v>11.194444444444443</v>
      </c>
      <c r="I16" s="442">
        <f t="shared" si="3"/>
        <v>11.194444444444443</v>
      </c>
      <c r="J16" s="442">
        <f t="shared" si="3"/>
        <v>11.194444444444443</v>
      </c>
      <c r="K16" s="442">
        <f t="shared" si="3"/>
        <v>11.194444444444443</v>
      </c>
      <c r="L16" s="438"/>
    </row>
    <row r="17" spans="2:18">
      <c r="B17" s="22" t="str">
        <f>Processes!C37</f>
        <v>IE,National</v>
      </c>
      <c r="C17" s="22" t="str">
        <f>Processes!D37</f>
        <v>IMPBIOWCH_S1</v>
      </c>
      <c r="D17" s="22" t="str">
        <f>Processes!E37</f>
        <v>Import of Wood Chip  - Step 1</v>
      </c>
      <c r="E17" s="22" t="str">
        <f>Commodities!$C$43</f>
        <v>BIOWCH</v>
      </c>
      <c r="F17" s="50">
        <f>'SEAI-AEA_BioData'!K$19</f>
        <v>5.2068405464794116</v>
      </c>
      <c r="G17" s="50">
        <f>'SEAI-AEA_BioData'!L$19</f>
        <v>4.1559186013184295</v>
      </c>
      <c r="H17" s="50">
        <f>'SEAI-AEA_BioData'!M$19</f>
        <v>3.5588038597496894</v>
      </c>
      <c r="I17" s="50">
        <f>'SEAI-AEA_BioData'!N$19</f>
        <v>3.3916117321104422</v>
      </c>
      <c r="J17" s="50"/>
      <c r="K17" s="50"/>
      <c r="L17" s="22"/>
    </row>
    <row r="18" spans="2:18">
      <c r="B18" s="22" t="str">
        <f>Processes!C38</f>
        <v>IE,National</v>
      </c>
      <c r="C18" s="22" t="str">
        <f>Processes!D38</f>
        <v>IMPBIOWCH_S2</v>
      </c>
      <c r="D18" s="22" t="str">
        <f>Processes!E38</f>
        <v>Import of Wood Chip  - Step 2</v>
      </c>
      <c r="E18" s="22" t="str">
        <f>Commodities!$C$43</f>
        <v>BIOWCH</v>
      </c>
      <c r="F18" s="50">
        <f>'SEAI-AEA_BioData'!K$40</f>
        <v>5.3979172637814079</v>
      </c>
      <c r="G18" s="50">
        <f>'SEAI-AEA_BioData'!L$40</f>
        <v>4.4186490876086744</v>
      </c>
      <c r="H18" s="50">
        <f>'SEAI-AEA_BioData'!M$40</f>
        <v>3.9409572943536828</v>
      </c>
      <c r="I18" s="50">
        <f>'SEAI-AEA_BioData'!N$40</f>
        <v>3.8693035253654342</v>
      </c>
      <c r="J18" s="50"/>
      <c r="K18" s="50"/>
      <c r="L18" s="22"/>
    </row>
    <row r="19" spans="2:18">
      <c r="B19" s="22" t="str">
        <f>Processes!C39</f>
        <v>IE,National</v>
      </c>
      <c r="C19" s="22" t="str">
        <f>Processes!D39</f>
        <v>IMPBIOWCH_S3</v>
      </c>
      <c r="D19" s="22" t="str">
        <f>Processes!E39</f>
        <v>Import of Wood Chip  - Step 3</v>
      </c>
      <c r="E19" s="22" t="str">
        <f>Commodities!$C$43</f>
        <v>BIOWCH</v>
      </c>
      <c r="F19" s="50">
        <f>'SEAI-AEA_BioData'!K$29</f>
        <v>6.1383395433266452</v>
      </c>
      <c r="G19" s="50">
        <f>'SEAI-AEA_BioData'!L$29</f>
        <v>5.039648418840164</v>
      </c>
      <c r="H19" s="50">
        <f>'SEAI-AEA_BioData'!M$29</f>
        <v>4.4664182669341734</v>
      </c>
      <c r="I19" s="50">
        <f>'SEAI-AEA_BioData'!N$29</f>
        <v>4.3708799082831753</v>
      </c>
      <c r="J19" s="50"/>
      <c r="K19" s="50"/>
      <c r="L19" s="22"/>
    </row>
    <row r="20" spans="2:18">
      <c r="B20" s="39" t="str">
        <f>Processes!C40</f>
        <v>IE,National</v>
      </c>
      <c r="C20" s="39" t="str">
        <f>Processes!D40</f>
        <v>IMPBIOWCH_S4</v>
      </c>
      <c r="D20" s="39" t="str">
        <f>Processes!E40</f>
        <v>Import of Wood Chip  - Step 4</v>
      </c>
      <c r="E20" s="39" t="str">
        <f>Commodities!$C$43</f>
        <v>BIOWCH</v>
      </c>
      <c r="F20" s="51">
        <f>'SEAI-AEA_BioData'!K$51</f>
        <v>6.3771854399541414</v>
      </c>
      <c r="G20" s="51">
        <f>'SEAI-AEA_BioData'!L$51</f>
        <v>5.3979172637814079</v>
      </c>
      <c r="H20" s="51">
        <f>'SEAI-AEA_BioData'!M$51</f>
        <v>4.9918792395146649</v>
      </c>
      <c r="I20" s="51">
        <f>'SEAI-AEA_BioData'!N$51</f>
        <v>5.039648418840164</v>
      </c>
      <c r="J20" s="51"/>
      <c r="K20" s="51"/>
      <c r="L20" s="39"/>
    </row>
    <row r="21" spans="2:18">
      <c r="B21" s="22"/>
      <c r="C21" s="22"/>
      <c r="D21" s="22"/>
      <c r="E21" s="22"/>
      <c r="F21" s="50"/>
      <c r="G21" s="50"/>
      <c r="H21" s="50"/>
      <c r="I21" s="50"/>
      <c r="J21" s="50"/>
      <c r="K21" s="50"/>
      <c r="L21" s="22"/>
    </row>
    <row r="22" spans="2:18" ht="18">
      <c r="B22" s="3" t="s">
        <v>81</v>
      </c>
      <c r="C22" s="3"/>
      <c r="D22" s="3"/>
      <c r="F22" s="5" t="str">
        <f>Imports_Fossil!G3</f>
        <v>~FI_T: IRE_PRICE</v>
      </c>
      <c r="G22" s="92"/>
      <c r="H22" s="92"/>
      <c r="I22" s="22"/>
      <c r="J22" s="22"/>
      <c r="K22" s="22"/>
      <c r="L22" s="22"/>
      <c r="M22" s="22"/>
    </row>
    <row r="23" spans="2:18" ht="30.75" customHeight="1">
      <c r="B23" s="6" t="s">
        <v>513</v>
      </c>
      <c r="C23" s="6" t="s">
        <v>2</v>
      </c>
      <c r="D23" s="6" t="s">
        <v>545</v>
      </c>
      <c r="E23" s="6" t="s">
        <v>559</v>
      </c>
      <c r="F23" s="6" t="s">
        <v>38</v>
      </c>
      <c r="G23" s="7" t="str">
        <f>Imports_Fossil!H4</f>
        <v>2018~MEUR2018</v>
      </c>
      <c r="H23" s="7" t="str">
        <f>Imports_Fossil!I4</f>
        <v>2019~MEUR2019</v>
      </c>
      <c r="I23" s="7" t="str">
        <f>Imports_Fossil!J4</f>
        <v>2025~MEUR2019</v>
      </c>
      <c r="J23" s="7" t="str">
        <f>Imports_Fossil!K4</f>
        <v>2030~MEUR2019</v>
      </c>
      <c r="K23" s="7" t="str">
        <f>Imports_Fossil!L4</f>
        <v>2035~MEUR2019</v>
      </c>
      <c r="L23" s="7" t="str">
        <f>Imports_Fossil!M4</f>
        <v>2040~MEUR2019</v>
      </c>
      <c r="M23" s="7" t="s">
        <v>699</v>
      </c>
      <c r="N23" s="7" t="s">
        <v>669</v>
      </c>
      <c r="O23" s="38" t="s">
        <v>66</v>
      </c>
    </row>
    <row r="24" spans="2:18" ht="28.2" thickBot="1">
      <c r="B24" s="9" t="s">
        <v>514</v>
      </c>
      <c r="C24" s="9" t="s">
        <v>59</v>
      </c>
      <c r="D24" s="9" t="s">
        <v>47</v>
      </c>
      <c r="E24" s="9" t="s">
        <v>567</v>
      </c>
      <c r="F24" s="9" t="s">
        <v>48</v>
      </c>
      <c r="G24" s="8" t="s">
        <v>49</v>
      </c>
      <c r="H24" s="8" t="s">
        <v>49</v>
      </c>
      <c r="I24" s="8" t="s">
        <v>49</v>
      </c>
      <c r="J24" s="8" t="s">
        <v>49</v>
      </c>
      <c r="K24" s="8" t="s">
        <v>49</v>
      </c>
      <c r="L24" s="8" t="s">
        <v>49</v>
      </c>
      <c r="M24" s="8" t="s">
        <v>49</v>
      </c>
      <c r="N24" s="8" t="s">
        <v>620</v>
      </c>
      <c r="O24" s="93"/>
    </row>
    <row r="25" spans="2:18">
      <c r="B25" s="203" t="str">
        <f>Processes!C31</f>
        <v>IE,National</v>
      </c>
      <c r="C25" s="203" t="str">
        <f>Processes!D31</f>
        <v>IMPBIOJKR_S1</v>
      </c>
      <c r="D25" s="203" t="str">
        <f>Processes!E31</f>
        <v>Import of Bio Jet Kerosene - Step 1</v>
      </c>
      <c r="E25" s="203" t="s">
        <v>13</v>
      </c>
      <c r="F25" s="203" t="str">
        <f>Commodities!C36</f>
        <v>BIOJKR</v>
      </c>
      <c r="G25" s="468">
        <f>Imports_Fossil!G102</f>
        <v>35.475000000000001</v>
      </c>
      <c r="H25" s="468"/>
      <c r="I25" s="468">
        <f>Imports_Fossil!G104</f>
        <v>32.787500000000001</v>
      </c>
      <c r="J25" s="468"/>
      <c r="K25" s="468"/>
      <c r="L25" s="468"/>
      <c r="N25" s="476">
        <v>2025</v>
      </c>
      <c r="O25" s="469" t="s">
        <v>700</v>
      </c>
    </row>
    <row r="26" spans="2:18">
      <c r="B26" s="467" t="str">
        <f>B25</f>
        <v>IE,National</v>
      </c>
      <c r="C26" s="467" t="str">
        <f>Processes!D32</f>
        <v>IMPPtLKER</v>
      </c>
      <c r="D26" s="467" t="s">
        <v>665</v>
      </c>
      <c r="E26" s="467" t="s">
        <v>13</v>
      </c>
      <c r="F26" s="467" t="str">
        <f>Commodities!C37</f>
        <v>PtLKER</v>
      </c>
      <c r="G26" s="468">
        <f>Imports_Fossil!E102</f>
        <v>114.81235186873293</v>
      </c>
      <c r="H26" s="468"/>
      <c r="I26" s="468">
        <f>Imports_Fossil!E103</f>
        <v>97.840679124886066</v>
      </c>
      <c r="J26" s="468">
        <v>63.6</v>
      </c>
      <c r="K26" s="468"/>
      <c r="L26" s="468">
        <v>47</v>
      </c>
      <c r="M26" s="468">
        <v>42</v>
      </c>
      <c r="N26" s="476">
        <v>2030</v>
      </c>
      <c r="O26" s="469" t="s">
        <v>701</v>
      </c>
    </row>
    <row r="27" spans="2:18">
      <c r="B27" s="22"/>
      <c r="C27" s="22"/>
      <c r="D27" s="22"/>
      <c r="E27" s="22"/>
      <c r="F27" s="42"/>
      <c r="G27" s="22"/>
      <c r="H27" s="22"/>
      <c r="I27" s="22"/>
      <c r="J27" s="22"/>
      <c r="K27" s="22"/>
      <c r="L27" s="22"/>
      <c r="M27" s="22"/>
    </row>
    <row r="28" spans="2:18" ht="25.8">
      <c r="B28" s="3" t="s">
        <v>109</v>
      </c>
      <c r="C28" s="3"/>
      <c r="D28" s="3"/>
      <c r="E28" s="5" t="s">
        <v>597</v>
      </c>
      <c r="F28" s="42"/>
      <c r="G28" s="22"/>
      <c r="H28" s="22"/>
      <c r="I28" s="22"/>
      <c r="J28" s="22"/>
      <c r="K28" s="22"/>
      <c r="L28" s="22"/>
      <c r="N28" s="129" t="s">
        <v>153</v>
      </c>
      <c r="O28" s="127"/>
      <c r="P28" s="127"/>
      <c r="Q28" s="127"/>
      <c r="R28" s="127"/>
    </row>
    <row r="29" spans="2:18">
      <c r="B29" s="6" t="s">
        <v>513</v>
      </c>
      <c r="C29" s="6" t="s">
        <v>2</v>
      </c>
      <c r="D29" s="6" t="s">
        <v>545</v>
      </c>
      <c r="E29" s="6" t="s">
        <v>38</v>
      </c>
      <c r="F29" s="7" t="s">
        <v>276</v>
      </c>
      <c r="G29" s="7" t="s">
        <v>110</v>
      </c>
      <c r="H29" s="7" t="s">
        <v>111</v>
      </c>
      <c r="I29" s="7" t="s">
        <v>112</v>
      </c>
      <c r="J29" s="7" t="s">
        <v>113</v>
      </c>
      <c r="K29" s="38" t="s">
        <v>66</v>
      </c>
      <c r="N29" s="23" t="s">
        <v>154</v>
      </c>
    </row>
    <row r="30" spans="2:18" ht="25.05" customHeight="1" thickBot="1">
      <c r="B30" s="9" t="s">
        <v>514</v>
      </c>
      <c r="C30" s="9" t="s">
        <v>59</v>
      </c>
      <c r="D30" s="9" t="s">
        <v>47</v>
      </c>
      <c r="E30" s="9" t="s">
        <v>48</v>
      </c>
      <c r="F30" s="8" t="s">
        <v>49</v>
      </c>
      <c r="G30" s="8" t="s">
        <v>49</v>
      </c>
      <c r="H30" s="8" t="s">
        <v>49</v>
      </c>
      <c r="I30" s="8" t="s">
        <v>49</v>
      </c>
      <c r="J30" s="8" t="s">
        <v>49</v>
      </c>
      <c r="K30" s="93"/>
      <c r="N30" s="128"/>
      <c r="O30" s="128"/>
      <c r="P30" s="153" t="s">
        <v>155</v>
      </c>
      <c r="Q30" s="153"/>
      <c r="R30" s="153" t="s">
        <v>156</v>
      </c>
    </row>
    <row r="31" spans="2:18" ht="15" thickBot="1">
      <c r="B31" s="43" t="str">
        <f t="shared" ref="B31" si="4">B13</f>
        <v>IE,National</v>
      </c>
      <c r="C31" s="43" t="str">
        <f t="shared" ref="C31:D31" si="5">C13</f>
        <v>IMPBIOWPE_S1</v>
      </c>
      <c r="D31" s="43" t="str">
        <f t="shared" si="5"/>
        <v>Import of Wood Pellets  - Step 1</v>
      </c>
      <c r="E31" s="22" t="str">
        <f>Commodities!$C$42</f>
        <v>BIOWPE</v>
      </c>
      <c r="F31" s="94">
        <f t="shared" ref="F31:F38" si="6">SUM($P$31:$R$31)</f>
        <v>4.8499999999999996</v>
      </c>
      <c r="G31" s="94">
        <f>SUM($P$31:$Q$31)+$R$31*(Imports_Fossil!G$37/Imports_Fossil!$E$37)</f>
        <v>4.3203296703296701</v>
      </c>
      <c r="H31" s="94">
        <f>SUM($P$31:$Q$31)+$R$31*(Imports_Fossil!H$37/Imports_Fossil!$E$37)</f>
        <v>4.4527472527472529</v>
      </c>
      <c r="I31" s="94">
        <f>SUM($P$31:$Q$31)+$R$31*(Imports_Fossil!I$37/Imports_Fossil!$E$37)</f>
        <v>4.5851648351648358</v>
      </c>
      <c r="J31" s="94">
        <f>SUM($P$31:$Q$31)+$R$31*(Imports_Fossil!J$37/Imports_Fossil!$E$37)</f>
        <v>4.6910989010989006</v>
      </c>
      <c r="K31" s="477" t="s">
        <v>114</v>
      </c>
      <c r="N31" s="130" t="s">
        <v>157</v>
      </c>
      <c r="O31" s="151" t="s">
        <v>158</v>
      </c>
      <c r="P31" s="144">
        <v>0.53</v>
      </c>
      <c r="Q31" s="144">
        <v>1.91</v>
      </c>
      <c r="R31" s="144">
        <v>2.41</v>
      </c>
    </row>
    <row r="32" spans="2:18">
      <c r="B32" s="21" t="str">
        <f t="shared" ref="B32" si="7">B14</f>
        <v>IE,National</v>
      </c>
      <c r="C32" s="21" t="str">
        <f t="shared" ref="C32:D32" si="8">C14</f>
        <v>IMPBIOWPE_S2</v>
      </c>
      <c r="D32" s="21" t="str">
        <f t="shared" si="8"/>
        <v>Import of Wood Pellets  - Step 2</v>
      </c>
      <c r="E32" s="22" t="str">
        <f>Commodities!$C$42</f>
        <v>BIOWPE</v>
      </c>
      <c r="F32" s="41">
        <f t="shared" si="6"/>
        <v>4.8499999999999996</v>
      </c>
      <c r="G32" s="41">
        <f>SUM($P$31:$Q$31)+$R$31*(Imports_Fossil!G$37/Imports_Fossil!$E$37)</f>
        <v>4.3203296703296701</v>
      </c>
      <c r="H32" s="41">
        <f>SUM($P$31:$Q$31)+$R$31*(Imports_Fossil!H$37/Imports_Fossil!$E$37)</f>
        <v>4.4527472527472529</v>
      </c>
      <c r="I32" s="41">
        <f>SUM($P$31:$Q$31)+$R$31*(Imports_Fossil!I$37/Imports_Fossil!$E$37)</f>
        <v>4.5851648351648358</v>
      </c>
      <c r="J32" s="41">
        <f>SUM($P$31:$Q$31)+$R$31*(Imports_Fossil!J$37/Imports_Fossil!$E$37)</f>
        <v>4.6910989010989006</v>
      </c>
      <c r="K32" s="478"/>
      <c r="N32" s="152"/>
      <c r="O32" s="149"/>
      <c r="P32" s="149"/>
      <c r="Q32" s="149"/>
    </row>
    <row r="33" spans="2:23">
      <c r="B33" s="21" t="str">
        <f t="shared" ref="B33" si="9">B15</f>
        <v>IE,National</v>
      </c>
      <c r="C33" s="21" t="str">
        <f t="shared" ref="C33:D33" si="10">C15</f>
        <v>IMPBIOWPE_S3</v>
      </c>
      <c r="D33" s="21" t="str">
        <f t="shared" si="10"/>
        <v>Import of Wood Pellets  - Step 3</v>
      </c>
      <c r="E33" s="22" t="str">
        <f>Commodities!$C$42</f>
        <v>BIOWPE</v>
      </c>
      <c r="F33" s="41">
        <f t="shared" si="6"/>
        <v>4.8499999999999996</v>
      </c>
      <c r="G33" s="41">
        <f>SUM($P$31:$Q$31)+$R$31*(Imports_Fossil!G$37/Imports_Fossil!$E$37)</f>
        <v>4.3203296703296701</v>
      </c>
      <c r="H33" s="41">
        <f>SUM($P$31:$Q$31)+$R$31*(Imports_Fossil!H$37/Imports_Fossil!$E$37)</f>
        <v>4.4527472527472529</v>
      </c>
      <c r="I33" s="41">
        <f>SUM($P$31:$Q$31)+$R$31*(Imports_Fossil!I$37/Imports_Fossil!$E$37)</f>
        <v>4.5851648351648358</v>
      </c>
      <c r="J33" s="41">
        <f>SUM($P$31:$Q$31)+$R$31*(Imports_Fossil!J$37/Imports_Fossil!$E$37)</f>
        <v>4.6910989010989006</v>
      </c>
      <c r="K33" s="478"/>
      <c r="M33" s="22"/>
    </row>
    <row r="34" spans="2:23">
      <c r="B34" s="45" t="str">
        <f t="shared" ref="B34" si="11">B16</f>
        <v>IE,National</v>
      </c>
      <c r="C34" s="45" t="str">
        <f t="shared" ref="C34:D34" si="12">C16</f>
        <v>IMPBIOWPE_S4</v>
      </c>
      <c r="D34" s="45" t="str">
        <f t="shared" si="12"/>
        <v>Import of Wood Pellets  - Step 4</v>
      </c>
      <c r="E34" s="39" t="str">
        <f>Commodities!$C$42</f>
        <v>BIOWPE</v>
      </c>
      <c r="F34" s="28">
        <f t="shared" si="6"/>
        <v>4.8499999999999996</v>
      </c>
      <c r="G34" s="28">
        <f>SUM($P$31:$Q$31)+$R$31*(Imports_Fossil!G$37/Imports_Fossil!$E$37)</f>
        <v>4.3203296703296701</v>
      </c>
      <c r="H34" s="28">
        <f>SUM($P$31:$Q$31)+$R$31*(Imports_Fossil!H$37/Imports_Fossil!$E$37)</f>
        <v>4.4527472527472529</v>
      </c>
      <c r="I34" s="28">
        <f>SUM($P$31:$Q$31)+$R$31*(Imports_Fossil!I$37/Imports_Fossil!$E$37)</f>
        <v>4.5851648351648358</v>
      </c>
      <c r="J34" s="28">
        <f>SUM($P$31:$Q$31)+$R$31*(Imports_Fossil!J$37/Imports_Fossil!$E$37)</f>
        <v>4.6910989010989006</v>
      </c>
      <c r="K34" s="478"/>
      <c r="M34" s="22"/>
    </row>
    <row r="35" spans="2:23">
      <c r="B35" s="95" t="str">
        <f t="shared" ref="B35" si="13">B17</f>
        <v>IE,National</v>
      </c>
      <c r="C35" s="95" t="str">
        <f t="shared" ref="C35:D35" si="14">C17</f>
        <v>IMPBIOWCH_S1</v>
      </c>
      <c r="D35" s="95" t="str">
        <f t="shared" si="14"/>
        <v>Import of Wood Chip  - Step 1</v>
      </c>
      <c r="E35" s="22" t="str">
        <f>Commodities!$C$43</f>
        <v>BIOWCH</v>
      </c>
      <c r="F35" s="96">
        <f t="shared" si="6"/>
        <v>4.8499999999999996</v>
      </c>
      <c r="G35" s="96">
        <f>SUM($P$31:$Q$31)+$R$31*(Imports_Fossil!G$37/Imports_Fossil!$E$37)</f>
        <v>4.3203296703296701</v>
      </c>
      <c r="H35" s="96">
        <f>SUM($P$31:$Q$31)+$R$31*(Imports_Fossil!H$37/Imports_Fossil!$E$37)</f>
        <v>4.4527472527472529</v>
      </c>
      <c r="I35" s="96">
        <f>SUM($P$31:$Q$31)+$R$31*(Imports_Fossil!I$37/Imports_Fossil!$E$37)</f>
        <v>4.5851648351648358</v>
      </c>
      <c r="J35" s="96">
        <f>SUM($P$31:$Q$31)+$R$31*(Imports_Fossil!J$37/Imports_Fossil!$E$37)</f>
        <v>4.6910989010989006</v>
      </c>
      <c r="K35" s="478"/>
      <c r="M35" s="22"/>
    </row>
    <row r="36" spans="2:23">
      <c r="B36" s="21" t="str">
        <f t="shared" ref="B36" si="15">B18</f>
        <v>IE,National</v>
      </c>
      <c r="C36" s="21" t="str">
        <f t="shared" ref="C36:D36" si="16">C18</f>
        <v>IMPBIOWCH_S2</v>
      </c>
      <c r="D36" s="21" t="str">
        <f t="shared" si="16"/>
        <v>Import of Wood Chip  - Step 2</v>
      </c>
      <c r="E36" s="22" t="str">
        <f>Commodities!$C$43</f>
        <v>BIOWCH</v>
      </c>
      <c r="F36" s="41">
        <f t="shared" si="6"/>
        <v>4.8499999999999996</v>
      </c>
      <c r="G36" s="41">
        <f>SUM($P$31:$Q$31)+$R$31*(Imports_Fossil!G$37/Imports_Fossil!$E$37)</f>
        <v>4.3203296703296701</v>
      </c>
      <c r="H36" s="41">
        <f>SUM($P$31:$Q$31)+$R$31*(Imports_Fossil!H$37/Imports_Fossil!$E$37)</f>
        <v>4.4527472527472529</v>
      </c>
      <c r="I36" s="41">
        <f>SUM($P$31:$Q$31)+$R$31*(Imports_Fossil!I$37/Imports_Fossil!$E$37)</f>
        <v>4.5851648351648358</v>
      </c>
      <c r="J36" s="41">
        <f>SUM($P$31:$Q$31)+$R$31*(Imports_Fossil!J$37/Imports_Fossil!$E$37)</f>
        <v>4.6910989010989006</v>
      </c>
      <c r="K36" s="478"/>
      <c r="M36" s="22"/>
    </row>
    <row r="37" spans="2:23">
      <c r="B37" s="21" t="str">
        <f t="shared" ref="B37" si="17">B19</f>
        <v>IE,National</v>
      </c>
      <c r="C37" s="21" t="str">
        <f t="shared" ref="C37:D37" si="18">C19</f>
        <v>IMPBIOWCH_S3</v>
      </c>
      <c r="D37" s="21" t="str">
        <f t="shared" si="18"/>
        <v>Import of Wood Chip  - Step 3</v>
      </c>
      <c r="E37" s="22" t="str">
        <f>Commodities!$C$43</f>
        <v>BIOWCH</v>
      </c>
      <c r="F37" s="41">
        <f t="shared" si="6"/>
        <v>4.8499999999999996</v>
      </c>
      <c r="G37" s="41">
        <f>SUM($P$31:$Q$31)+$R$31*(Imports_Fossil!G$37/Imports_Fossil!$E$37)</f>
        <v>4.3203296703296701</v>
      </c>
      <c r="H37" s="41">
        <f>SUM($P$31:$Q$31)+$R$31*(Imports_Fossil!H$37/Imports_Fossil!$E$37)</f>
        <v>4.4527472527472529</v>
      </c>
      <c r="I37" s="41">
        <f>SUM($P$31:$Q$31)+$R$31*(Imports_Fossil!I$37/Imports_Fossil!$E$37)</f>
        <v>4.5851648351648358</v>
      </c>
      <c r="J37" s="41">
        <f>SUM($P$31:$Q$31)+$R$31*(Imports_Fossil!J$37/Imports_Fossil!$E$37)</f>
        <v>4.6910989010989006</v>
      </c>
      <c r="K37" s="478"/>
      <c r="M37" s="22"/>
    </row>
    <row r="38" spans="2:23">
      <c r="B38" s="45" t="str">
        <f t="shared" ref="B38" si="19">B20</f>
        <v>IE,National</v>
      </c>
      <c r="C38" s="45" t="str">
        <f t="shared" ref="C38:D38" si="20">C20</f>
        <v>IMPBIOWCH_S4</v>
      </c>
      <c r="D38" s="45" t="str">
        <f t="shared" si="20"/>
        <v>Import of Wood Chip  - Step 4</v>
      </c>
      <c r="E38" s="39" t="str">
        <f>Commodities!$C$43</f>
        <v>BIOWCH</v>
      </c>
      <c r="F38" s="28">
        <f t="shared" si="6"/>
        <v>4.8499999999999996</v>
      </c>
      <c r="G38" s="28">
        <f>SUM($P$31:$Q$31)+$R$31*(Imports_Fossil!G$37/Imports_Fossil!$E$37)</f>
        <v>4.3203296703296701</v>
      </c>
      <c r="H38" s="28">
        <f>SUM($P$31:$Q$31)+$R$31*(Imports_Fossil!H$37/Imports_Fossil!$E$37)</f>
        <v>4.4527472527472529</v>
      </c>
      <c r="I38" s="28">
        <f>SUM($P$31:$Q$31)+$R$31*(Imports_Fossil!I$37/Imports_Fossil!$E$37)</f>
        <v>4.5851648351648358</v>
      </c>
      <c r="J38" s="28">
        <f>SUM($P$31:$Q$31)+$R$31*(Imports_Fossil!J$37/Imports_Fossil!$E$37)</f>
        <v>4.6910989010989006</v>
      </c>
      <c r="K38" s="479"/>
      <c r="M38" s="22"/>
    </row>
    <row r="39" spans="2:23">
      <c r="B39" s="22"/>
      <c r="C39" s="22"/>
      <c r="D39" s="22"/>
      <c r="E39" s="22"/>
      <c r="F39" s="42"/>
      <c r="G39" s="22"/>
      <c r="H39" s="22"/>
      <c r="I39" s="22"/>
      <c r="J39" s="22"/>
      <c r="K39" s="22"/>
      <c r="L39" s="22"/>
      <c r="M39" s="22"/>
    </row>
    <row r="40" spans="2:23">
      <c r="G40" s="24"/>
      <c r="H40" s="24"/>
      <c r="I40" s="24"/>
      <c r="J40" s="24"/>
    </row>
    <row r="41" spans="2:23" ht="18">
      <c r="B41" s="3" t="s">
        <v>82</v>
      </c>
      <c r="C41" s="3"/>
      <c r="D41" s="4"/>
      <c r="E41" s="5" t="s">
        <v>78</v>
      </c>
      <c r="I41" s="24"/>
      <c r="J41" s="24"/>
      <c r="K41" s="24"/>
      <c r="L41" s="24"/>
      <c r="R41"/>
      <c r="S41"/>
      <c r="T41"/>
      <c r="U41"/>
      <c r="V41"/>
      <c r="W41"/>
    </row>
    <row r="42" spans="2:23">
      <c r="B42" s="6" t="s">
        <v>513</v>
      </c>
      <c r="C42" s="6" t="s">
        <v>2</v>
      </c>
      <c r="D42" s="6" t="s">
        <v>545</v>
      </c>
      <c r="E42" s="6" t="s">
        <v>38</v>
      </c>
      <c r="F42" s="7">
        <v>2018</v>
      </c>
      <c r="G42" s="7">
        <v>2020</v>
      </c>
      <c r="H42" s="7">
        <v>2025</v>
      </c>
      <c r="I42" s="7">
        <v>2030</v>
      </c>
      <c r="J42" s="7">
        <v>2035</v>
      </c>
      <c r="K42" s="7">
        <v>2040</v>
      </c>
      <c r="L42" s="7">
        <v>2045</v>
      </c>
      <c r="M42" s="7">
        <v>2050</v>
      </c>
      <c r="N42" s="195">
        <v>0</v>
      </c>
      <c r="O42" s="38" t="s">
        <v>66</v>
      </c>
      <c r="P42" s="7"/>
      <c r="R42"/>
      <c r="S42"/>
      <c r="T42"/>
      <c r="U42"/>
      <c r="V42"/>
      <c r="W42"/>
    </row>
    <row r="43" spans="2:23" ht="26.7" customHeight="1" thickBot="1">
      <c r="B43" s="8" t="s">
        <v>514</v>
      </c>
      <c r="C43" s="8" t="s">
        <v>59</v>
      </c>
      <c r="D43" s="8" t="s">
        <v>47</v>
      </c>
      <c r="E43" s="8" t="s">
        <v>48</v>
      </c>
      <c r="F43" s="8" t="s">
        <v>10</v>
      </c>
      <c r="G43" s="8" t="s">
        <v>10</v>
      </c>
      <c r="H43" s="8" t="s">
        <v>10</v>
      </c>
      <c r="I43" s="8" t="s">
        <v>10</v>
      </c>
      <c r="J43" s="8" t="s">
        <v>10</v>
      </c>
      <c r="K43" s="8" t="s">
        <v>10</v>
      </c>
      <c r="L43" s="8" t="s">
        <v>10</v>
      </c>
      <c r="M43" s="8" t="s">
        <v>10</v>
      </c>
      <c r="N43" s="8" t="s">
        <v>435</v>
      </c>
      <c r="O43" s="8"/>
      <c r="P43" s="8"/>
      <c r="R43"/>
      <c r="S43"/>
      <c r="T43"/>
      <c r="U43"/>
      <c r="V43"/>
      <c r="W43"/>
    </row>
    <row r="44" spans="2:23">
      <c r="B44" s="43" t="str">
        <f>Imports_Bio!B5</f>
        <v>IE,National</v>
      </c>
      <c r="C44" s="43" t="str">
        <f>Imports_Bio!C5</f>
        <v>IMPBIOETH1G_S1</v>
      </c>
      <c r="D44" s="43" t="str">
        <f>Imports_Bio!D5</f>
        <v>Import of Ethanol 1st generation  - Step 1</v>
      </c>
      <c r="E44" s="44" t="str">
        <f>Commodities!$C$30</f>
        <v>BIOETH1G</v>
      </c>
      <c r="F44" s="146">
        <f>'EB2018'!AJ3*Conversions!$C$2</f>
        <v>0.95614079147278108</v>
      </c>
      <c r="G44" s="52">
        <f>F44</f>
        <v>0.95614079147278108</v>
      </c>
      <c r="H44" s="52">
        <f t="shared" ref="H44:M44" si="21">G44</f>
        <v>0.95614079147278108</v>
      </c>
      <c r="I44" s="52">
        <f t="shared" si="21"/>
        <v>0.95614079147278108</v>
      </c>
      <c r="J44" s="52">
        <f t="shared" si="21"/>
        <v>0.95614079147278108</v>
      </c>
      <c r="K44" s="52">
        <f t="shared" si="21"/>
        <v>0.95614079147278108</v>
      </c>
      <c r="L44" s="52">
        <f t="shared" si="21"/>
        <v>0.95614079147278108</v>
      </c>
      <c r="M44" s="52">
        <f t="shared" si="21"/>
        <v>0.95614079147278108</v>
      </c>
      <c r="N44" s="196">
        <v>5</v>
      </c>
      <c r="O44" s="61" t="s">
        <v>451</v>
      </c>
      <c r="P44" s="52"/>
      <c r="R44"/>
      <c r="S44"/>
      <c r="T44"/>
      <c r="U44"/>
      <c r="V44"/>
      <c r="W44"/>
    </row>
    <row r="45" spans="2:23">
      <c r="B45" s="21" t="str">
        <f>Imports_Bio!B6</f>
        <v>IE,National</v>
      </c>
      <c r="C45" s="21" t="str">
        <f>Imports_Bio!C6</f>
        <v>IMPBIOETH1G_S2</v>
      </c>
      <c r="D45" s="21" t="str">
        <f>Imports_Bio!D6</f>
        <v>Import of Ethanol 1st generation  - Step 2</v>
      </c>
      <c r="E45" s="22" t="str">
        <f>Commodities!$C$30</f>
        <v>BIOETH1G</v>
      </c>
      <c r="F45" s="148">
        <v>0</v>
      </c>
      <c r="G45" s="50">
        <f>G44*2</f>
        <v>1.9122815829455622</v>
      </c>
      <c r="H45" s="50">
        <f t="shared" ref="H45:M46" si="22">H44*2</f>
        <v>1.9122815829455622</v>
      </c>
      <c r="I45" s="50">
        <f t="shared" si="22"/>
        <v>1.9122815829455622</v>
      </c>
      <c r="J45" s="50">
        <f t="shared" si="22"/>
        <v>1.9122815829455622</v>
      </c>
      <c r="K45" s="50">
        <f t="shared" si="22"/>
        <v>1.9122815829455622</v>
      </c>
      <c r="L45" s="50">
        <f t="shared" si="22"/>
        <v>1.9122815829455622</v>
      </c>
      <c r="M45" s="50">
        <f t="shared" si="22"/>
        <v>1.9122815829455622</v>
      </c>
      <c r="N45" s="197">
        <v>5</v>
      </c>
      <c r="O45" s="62" t="s">
        <v>215</v>
      </c>
      <c r="P45" s="50"/>
      <c r="R45"/>
      <c r="S45"/>
      <c r="T45"/>
      <c r="U45"/>
      <c r="V45"/>
      <c r="W45"/>
    </row>
    <row r="46" spans="2:23">
      <c r="B46" s="21" t="str">
        <f>Imports_Bio!B7</f>
        <v>IE,National</v>
      </c>
      <c r="C46" s="21" t="str">
        <f>Imports_Bio!C7</f>
        <v>IMPBIOETH1G_S3</v>
      </c>
      <c r="D46" s="21" t="str">
        <f>Imports_Bio!D7</f>
        <v>Import of Ethanol 1st generation  - Step 3</v>
      </c>
      <c r="E46" s="22" t="str">
        <f>Commodities!$C$30</f>
        <v>BIOETH1G</v>
      </c>
      <c r="F46" s="148">
        <v>0</v>
      </c>
      <c r="G46" s="50">
        <f>G45*2</f>
        <v>3.8245631658911243</v>
      </c>
      <c r="H46" s="50">
        <f t="shared" si="22"/>
        <v>3.8245631658911243</v>
      </c>
      <c r="I46" s="50">
        <f t="shared" si="22"/>
        <v>3.8245631658911243</v>
      </c>
      <c r="J46" s="50">
        <f t="shared" si="22"/>
        <v>3.8245631658911243</v>
      </c>
      <c r="K46" s="50">
        <f t="shared" si="22"/>
        <v>3.8245631658911243</v>
      </c>
      <c r="L46" s="50">
        <f t="shared" si="22"/>
        <v>3.8245631658911243</v>
      </c>
      <c r="M46" s="50">
        <f t="shared" si="22"/>
        <v>3.8245631658911243</v>
      </c>
      <c r="N46" s="197">
        <v>5</v>
      </c>
      <c r="O46" s="62" t="s">
        <v>216</v>
      </c>
      <c r="P46" s="50"/>
      <c r="R46"/>
      <c r="S46"/>
      <c r="T46"/>
      <c r="U46"/>
      <c r="V46"/>
      <c r="W46"/>
    </row>
    <row r="47" spans="2:23">
      <c r="B47" s="45" t="str">
        <f>"*"&amp;Imports_Bio!B8</f>
        <v>*IE,National</v>
      </c>
      <c r="C47" s="45" t="str">
        <f>"*"&amp;Imports_Bio!C8</f>
        <v>*IMPBIOETH1G_S4</v>
      </c>
      <c r="D47" s="45" t="str">
        <f>Imports_Bio!D8</f>
        <v>Import of Ethanol 1st generation  - Step 4</v>
      </c>
      <c r="E47" s="39" t="str">
        <f>Commodities!$C$30</f>
        <v>BIOETH1G</v>
      </c>
      <c r="F47" s="150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198">
        <v>5</v>
      </c>
      <c r="O47" s="63" t="s">
        <v>217</v>
      </c>
      <c r="P47" s="51"/>
      <c r="R47"/>
      <c r="S47"/>
      <c r="T47"/>
      <c r="U47"/>
      <c r="V47"/>
      <c r="W47"/>
    </row>
    <row r="48" spans="2:23" ht="15" thickBot="1">
      <c r="B48" s="46" t="s">
        <v>79</v>
      </c>
      <c r="C48" s="46"/>
      <c r="D48" s="46"/>
      <c r="E48" s="47"/>
      <c r="F48" s="53"/>
      <c r="G48" s="53">
        <f>H48</f>
        <v>59.810866344000004</v>
      </c>
      <c r="H48" s="53">
        <f>I48</f>
        <v>59.810866344000004</v>
      </c>
      <c r="I48" s="53">
        <f>'SEAI-AEA_BioData'!G54*Conversions!$C$2/1000</f>
        <v>59.810866344000004</v>
      </c>
      <c r="J48" s="53">
        <f>I48</f>
        <v>59.810866344000004</v>
      </c>
      <c r="K48" s="53">
        <f t="shared" ref="K48:M48" si="23">J48</f>
        <v>59.810866344000004</v>
      </c>
      <c r="L48" s="53">
        <f t="shared" si="23"/>
        <v>59.810866344000004</v>
      </c>
      <c r="M48" s="53">
        <f t="shared" si="23"/>
        <v>59.810866344000004</v>
      </c>
      <c r="N48" s="199"/>
      <c r="O48" s="64" t="s">
        <v>80</v>
      </c>
      <c r="P48" s="53"/>
      <c r="R48"/>
      <c r="S48"/>
      <c r="T48"/>
      <c r="U48"/>
      <c r="V48"/>
      <c r="W48"/>
    </row>
    <row r="49" spans="2:23">
      <c r="B49" s="43" t="str">
        <f>Imports_Bio!B9</f>
        <v>IE,National</v>
      </c>
      <c r="C49" s="43" t="str">
        <f>Imports_Bio!C9</f>
        <v>IMPBIODST1G_S1</v>
      </c>
      <c r="D49" s="43" t="str">
        <f>Imports_Bio!D9</f>
        <v>Import of Biodiesel 1st generation  - Step 1</v>
      </c>
      <c r="E49" s="44" t="str">
        <f>Commodities!$C$32</f>
        <v>BIODST1G</v>
      </c>
      <c r="F49" s="146">
        <f>'EB2018'!AI3*Conversions!$C$2</f>
        <v>4.3883698143827266</v>
      </c>
      <c r="G49" s="52">
        <f>F49</f>
        <v>4.3883698143827266</v>
      </c>
      <c r="H49" s="52">
        <f t="shared" ref="H49:M49" si="24">G49</f>
        <v>4.3883698143827266</v>
      </c>
      <c r="I49" s="52">
        <f t="shared" si="24"/>
        <v>4.3883698143827266</v>
      </c>
      <c r="J49" s="52">
        <f t="shared" si="24"/>
        <v>4.3883698143827266</v>
      </c>
      <c r="K49" s="52">
        <f t="shared" si="24"/>
        <v>4.3883698143827266</v>
      </c>
      <c r="L49" s="52">
        <f t="shared" si="24"/>
        <v>4.3883698143827266</v>
      </c>
      <c r="M49" s="52">
        <f t="shared" si="24"/>
        <v>4.3883698143827266</v>
      </c>
      <c r="N49" s="196">
        <v>5</v>
      </c>
      <c r="O49" s="61" t="s">
        <v>451</v>
      </c>
      <c r="P49" s="52"/>
      <c r="R49"/>
      <c r="S49"/>
      <c r="T49"/>
      <c r="U49"/>
      <c r="V49"/>
      <c r="W49"/>
    </row>
    <row r="50" spans="2:23">
      <c r="B50" s="21" t="str">
        <f>Imports_Bio!B10</f>
        <v>IE,National</v>
      </c>
      <c r="C50" s="21" t="str">
        <f>Imports_Bio!C10</f>
        <v>IMPBIODST1G_S2</v>
      </c>
      <c r="D50" s="21" t="str">
        <f>Imports_Bio!D10</f>
        <v>Import of Biodiesel 1st generation  - Step 2</v>
      </c>
      <c r="E50" s="22" t="str">
        <f>Commodities!$C$32</f>
        <v>BIODST1G</v>
      </c>
      <c r="F50" s="148">
        <v>0</v>
      </c>
      <c r="G50" s="50">
        <f>G49*2</f>
        <v>8.7767396287654531</v>
      </c>
      <c r="H50" s="50">
        <f t="shared" ref="H50:M51" si="25">H49*2</f>
        <v>8.7767396287654531</v>
      </c>
      <c r="I50" s="50">
        <f t="shared" si="25"/>
        <v>8.7767396287654531</v>
      </c>
      <c r="J50" s="50">
        <f t="shared" si="25"/>
        <v>8.7767396287654531</v>
      </c>
      <c r="K50" s="50">
        <f t="shared" si="25"/>
        <v>8.7767396287654531</v>
      </c>
      <c r="L50" s="50">
        <f t="shared" si="25"/>
        <v>8.7767396287654531</v>
      </c>
      <c r="M50" s="50">
        <f t="shared" si="25"/>
        <v>8.7767396287654531</v>
      </c>
      <c r="N50" s="197">
        <v>5</v>
      </c>
      <c r="O50" s="62" t="s">
        <v>215</v>
      </c>
      <c r="P50" s="50"/>
      <c r="R50" s="25"/>
    </row>
    <row r="51" spans="2:23">
      <c r="B51" s="21" t="str">
        <f>Imports_Bio!B11</f>
        <v>IE,National</v>
      </c>
      <c r="C51" s="21" t="str">
        <f>Imports_Bio!C11</f>
        <v>IMPBIODST1G_S3</v>
      </c>
      <c r="D51" s="21" t="str">
        <f>Imports_Bio!D11</f>
        <v>Import of Biodiesel 1st generation  - Step 3</v>
      </c>
      <c r="E51" s="22" t="str">
        <f>Commodities!$C$32</f>
        <v>BIODST1G</v>
      </c>
      <c r="F51" s="148">
        <v>0</v>
      </c>
      <c r="G51" s="50">
        <f>G50*2</f>
        <v>17.553479257530906</v>
      </c>
      <c r="H51" s="50">
        <f t="shared" si="25"/>
        <v>17.553479257530906</v>
      </c>
      <c r="I51" s="50">
        <f t="shared" si="25"/>
        <v>17.553479257530906</v>
      </c>
      <c r="J51" s="50">
        <f t="shared" si="25"/>
        <v>17.553479257530906</v>
      </c>
      <c r="K51" s="50">
        <f t="shared" si="25"/>
        <v>17.553479257530906</v>
      </c>
      <c r="L51" s="50">
        <f t="shared" si="25"/>
        <v>17.553479257530906</v>
      </c>
      <c r="M51" s="50">
        <f t="shared" si="25"/>
        <v>17.553479257530906</v>
      </c>
      <c r="N51" s="197">
        <v>5</v>
      </c>
      <c r="O51" s="62" t="s">
        <v>216</v>
      </c>
      <c r="P51" s="50"/>
      <c r="R51" s="25"/>
    </row>
    <row r="52" spans="2:23">
      <c r="B52" s="45" t="str">
        <f>"*"&amp;Imports_Bio!B12</f>
        <v>*IE,National</v>
      </c>
      <c r="C52" s="45" t="str">
        <f>"*"&amp;Imports_Bio!C12</f>
        <v>*IMPBIODST1G_S4</v>
      </c>
      <c r="D52" s="45" t="str">
        <f>Imports_Bio!D12</f>
        <v>Import of Biodiesel 1st generation  - Step 4</v>
      </c>
      <c r="E52" s="39" t="str">
        <f>Commodities!$C$32</f>
        <v>BIODST1G</v>
      </c>
      <c r="F52" s="150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198">
        <v>5</v>
      </c>
      <c r="O52" s="63" t="s">
        <v>217</v>
      </c>
      <c r="P52" s="51"/>
      <c r="R52" s="25"/>
    </row>
    <row r="53" spans="2:23" ht="15" thickBot="1">
      <c r="B53" s="46" t="s">
        <v>79</v>
      </c>
      <c r="C53" s="46"/>
      <c r="D53" s="46"/>
      <c r="E53" s="48"/>
      <c r="F53" s="53"/>
      <c r="G53" s="54">
        <f>H53</f>
        <v>102.75858989456388</v>
      </c>
      <c r="H53" s="54">
        <f>I53</f>
        <v>102.75858989456388</v>
      </c>
      <c r="I53" s="54">
        <f>2727.05194883825*Conversions!$C$2*0.9</f>
        <v>102.75858989456388</v>
      </c>
      <c r="J53" s="54">
        <f>I53</f>
        <v>102.75858989456388</v>
      </c>
      <c r="K53" s="54">
        <f t="shared" ref="K53:M53" si="26">J53</f>
        <v>102.75858989456388</v>
      </c>
      <c r="L53" s="54">
        <f t="shared" si="26"/>
        <v>102.75858989456388</v>
      </c>
      <c r="M53" s="54">
        <f t="shared" si="26"/>
        <v>102.75858989456388</v>
      </c>
      <c r="N53" s="199"/>
      <c r="O53" s="64" t="s">
        <v>214</v>
      </c>
      <c r="P53" s="53"/>
      <c r="R53" s="25"/>
    </row>
    <row r="54" spans="2:23">
      <c r="B54" s="441" t="str">
        <f>Imports_Bio!B13</f>
        <v>IE,National</v>
      </c>
      <c r="C54" s="441" t="str">
        <f>Imports_Bio!C13</f>
        <v>IMPBIOWPE_S1</v>
      </c>
      <c r="D54" s="441" t="str">
        <f>Imports_Bio!D13</f>
        <v>Import of Wood Pellets  - Step 1</v>
      </c>
      <c r="E54" s="443" t="str">
        <f>Commodities!$C$42</f>
        <v>BIOWPE</v>
      </c>
      <c r="F54" s="439">
        <f>'EB2018'!AE3*Conversions!$C$2*Imports_Bio!$R$54</f>
        <v>0.71165055175994518</v>
      </c>
      <c r="G54" s="440">
        <f>G68</f>
        <v>1.8</v>
      </c>
      <c r="H54" s="440">
        <f t="shared" ref="H54:M54" si="27">H68</f>
        <v>1.8</v>
      </c>
      <c r="I54" s="440">
        <f t="shared" si="27"/>
        <v>1.8</v>
      </c>
      <c r="J54" s="440">
        <f t="shared" si="27"/>
        <v>1.8</v>
      </c>
      <c r="K54" s="440">
        <f t="shared" si="27"/>
        <v>3.6</v>
      </c>
      <c r="L54" s="440">
        <f t="shared" si="27"/>
        <v>7.2</v>
      </c>
      <c r="M54" s="440">
        <f t="shared" si="27"/>
        <v>7.2</v>
      </c>
      <c r="N54" s="437">
        <v>5</v>
      </c>
      <c r="O54" s="436" t="s">
        <v>218</v>
      </c>
      <c r="P54" s="52"/>
      <c r="R54" s="147">
        <v>0.7</v>
      </c>
    </row>
    <row r="55" spans="2:23">
      <c r="B55" s="444" t="str">
        <f>Imports_Bio!B14</f>
        <v>IE,National</v>
      </c>
      <c r="C55" s="444" t="str">
        <f>Imports_Bio!C14</f>
        <v>IMPBIOWPE_S2</v>
      </c>
      <c r="D55" s="444" t="str">
        <f>Imports_Bio!D14</f>
        <v>Import of Wood Pellets  - Step 2</v>
      </c>
      <c r="E55" s="443" t="str">
        <f>Commodities!$C$42</f>
        <v>BIOWPE</v>
      </c>
      <c r="F55" s="445">
        <v>0</v>
      </c>
      <c r="G55" s="460">
        <f t="shared" ref="G55:M55" si="28">G69</f>
        <v>0</v>
      </c>
      <c r="H55" s="460">
        <f t="shared" si="28"/>
        <v>3.6</v>
      </c>
      <c r="I55" s="460">
        <f t="shared" si="28"/>
        <v>18</v>
      </c>
      <c r="J55" s="460">
        <f t="shared" si="28"/>
        <v>36</v>
      </c>
      <c r="K55" s="460">
        <f t="shared" si="28"/>
        <v>54</v>
      </c>
      <c r="L55" s="460">
        <f t="shared" si="28"/>
        <v>61.2</v>
      </c>
      <c r="M55" s="460">
        <f t="shared" si="28"/>
        <v>61.2</v>
      </c>
      <c r="N55" s="446">
        <v>5</v>
      </c>
      <c r="O55" s="447" t="s">
        <v>646</v>
      </c>
      <c r="P55" s="50"/>
      <c r="R55" s="25"/>
    </row>
    <row r="56" spans="2:23">
      <c r="B56" s="444" t="str">
        <f>Imports_Bio!B15</f>
        <v>IE,National</v>
      </c>
      <c r="C56" s="444" t="str">
        <f>Imports_Bio!C15</f>
        <v>IMPBIOWPE_S3</v>
      </c>
      <c r="D56" s="444" t="str">
        <f>Imports_Bio!D15</f>
        <v>Import of Wood Pellets  - Step 3</v>
      </c>
      <c r="E56" s="443" t="str">
        <f>Commodities!$C$42</f>
        <v>BIOWPE</v>
      </c>
      <c r="F56" s="445">
        <v>0</v>
      </c>
      <c r="G56" s="440">
        <v>0</v>
      </c>
      <c r="H56" s="458">
        <v>0</v>
      </c>
      <c r="I56" s="458">
        <v>0</v>
      </c>
      <c r="J56" s="458">
        <v>0</v>
      </c>
      <c r="K56" s="458">
        <v>0</v>
      </c>
      <c r="L56" s="458">
        <v>0</v>
      </c>
      <c r="M56" s="458">
        <v>0</v>
      </c>
      <c r="N56" s="446">
        <v>5</v>
      </c>
      <c r="O56" s="447" t="s">
        <v>646</v>
      </c>
      <c r="P56" s="50"/>
      <c r="R56" s="25"/>
    </row>
    <row r="57" spans="2:23">
      <c r="B57" s="448" t="str">
        <f>B56</f>
        <v>IE,National</v>
      </c>
      <c r="C57" s="444" t="str">
        <f>Imports_Bio!C16</f>
        <v>IMPBIOWPE_S4</v>
      </c>
      <c r="D57" s="448" t="str">
        <f>Imports_Bio!D16</f>
        <v>Import of Wood Pellets  - Step 4</v>
      </c>
      <c r="E57" s="438" t="str">
        <f>Commodities!$C$42</f>
        <v>BIOWPE</v>
      </c>
      <c r="F57" s="449">
        <v>0</v>
      </c>
      <c r="G57" s="442">
        <v>0</v>
      </c>
      <c r="H57" s="459">
        <v>0</v>
      </c>
      <c r="I57" s="459">
        <v>0</v>
      </c>
      <c r="J57" s="459">
        <v>0</v>
      </c>
      <c r="K57" s="459">
        <v>0</v>
      </c>
      <c r="L57" s="459">
        <v>0</v>
      </c>
      <c r="M57" s="459">
        <v>0</v>
      </c>
      <c r="N57" s="450">
        <v>5</v>
      </c>
      <c r="O57" s="447" t="s">
        <v>646</v>
      </c>
      <c r="P57" s="51"/>
      <c r="R57" s="25"/>
    </row>
    <row r="58" spans="2:23" ht="15" thickBot="1">
      <c r="B58" s="46" t="s">
        <v>79</v>
      </c>
      <c r="C58" s="46"/>
      <c r="D58" s="46"/>
      <c r="E58" s="47"/>
      <c r="F58" s="457"/>
      <c r="G58" s="457">
        <f>SUM(G54:G57)</f>
        <v>1.8</v>
      </c>
      <c r="H58" s="457">
        <f t="shared" ref="H58:M58" si="29">SUM(H54:H57)</f>
        <v>5.4</v>
      </c>
      <c r="I58" s="457">
        <f t="shared" si="29"/>
        <v>19.8</v>
      </c>
      <c r="J58" s="457">
        <f t="shared" si="29"/>
        <v>37.799999999999997</v>
      </c>
      <c r="K58" s="457">
        <f t="shared" si="29"/>
        <v>57.6</v>
      </c>
      <c r="L58" s="457">
        <f t="shared" si="29"/>
        <v>68.400000000000006</v>
      </c>
      <c r="M58" s="457">
        <f t="shared" si="29"/>
        <v>68.400000000000006</v>
      </c>
      <c r="N58" s="199"/>
      <c r="O58" s="64" t="s">
        <v>80</v>
      </c>
      <c r="P58" s="53"/>
      <c r="R58" s="25"/>
    </row>
    <row r="59" spans="2:23">
      <c r="B59" s="43" t="str">
        <f>Imports_Bio!B17</f>
        <v>IE,National</v>
      </c>
      <c r="C59" s="43" t="str">
        <f>Imports_Bio!C17</f>
        <v>IMPBIOWCH_S1</v>
      </c>
      <c r="D59" s="43" t="str">
        <f>Imports_Bio!D17</f>
        <v>Import of Wood Chip  - Step 1</v>
      </c>
      <c r="E59" s="44" t="str">
        <f>Commodities!$C$43</f>
        <v>BIOWCH</v>
      </c>
      <c r="F59" s="146">
        <f>'EB2018'!AE3*Conversions!$C$2*Imports_Bio!$R$59</f>
        <v>0.30499309361140514</v>
      </c>
      <c r="G59" s="52">
        <f>MAX(F59:F59)</f>
        <v>0.30499309361140514</v>
      </c>
      <c r="H59" s="52">
        <f>G59</f>
        <v>0.30499309361140514</v>
      </c>
      <c r="I59" s="52">
        <f t="shared" ref="I59:M59" si="30">H59</f>
        <v>0.30499309361140514</v>
      </c>
      <c r="J59" s="52">
        <f t="shared" si="30"/>
        <v>0.30499309361140514</v>
      </c>
      <c r="K59" s="52">
        <f t="shared" si="30"/>
        <v>0.30499309361140514</v>
      </c>
      <c r="L59" s="52">
        <f t="shared" si="30"/>
        <v>0.30499309361140514</v>
      </c>
      <c r="M59" s="52">
        <f t="shared" si="30"/>
        <v>0.30499309361140514</v>
      </c>
      <c r="N59" s="196">
        <v>5</v>
      </c>
      <c r="O59" s="61" t="s">
        <v>218</v>
      </c>
      <c r="P59" s="52"/>
      <c r="R59" s="145">
        <f>1-R54</f>
        <v>0.30000000000000004</v>
      </c>
    </row>
    <row r="60" spans="2:23">
      <c r="B60" s="45" t="str">
        <f>"*"&amp;Imports_Bio!B18</f>
        <v>*IE,National</v>
      </c>
      <c r="C60" s="21" t="str">
        <f>Imports_Bio!C18</f>
        <v>IMPBIOWCH_S2</v>
      </c>
      <c r="D60" s="21" t="str">
        <f>Imports_Bio!D18</f>
        <v>Import of Wood Chip  - Step 2</v>
      </c>
      <c r="E60" s="22" t="str">
        <f>Commodities!$C$43</f>
        <v>BIOWCH</v>
      </c>
      <c r="F60" s="148">
        <v>0</v>
      </c>
      <c r="G60" s="50">
        <f>G59*2</f>
        <v>0.60998618722281028</v>
      </c>
      <c r="H60" s="50">
        <f t="shared" ref="H60:M61" si="31">H59*2</f>
        <v>0.60998618722281028</v>
      </c>
      <c r="I60" s="50">
        <f t="shared" si="31"/>
        <v>0.60998618722281028</v>
      </c>
      <c r="J60" s="50">
        <f t="shared" si="31"/>
        <v>0.60998618722281028</v>
      </c>
      <c r="K60" s="50">
        <f t="shared" si="31"/>
        <v>0.60998618722281028</v>
      </c>
      <c r="L60" s="50">
        <f t="shared" si="31"/>
        <v>0.60998618722281028</v>
      </c>
      <c r="M60" s="50">
        <f t="shared" si="31"/>
        <v>0.60998618722281028</v>
      </c>
      <c r="N60" s="197">
        <v>5</v>
      </c>
      <c r="O60" s="62" t="s">
        <v>215</v>
      </c>
      <c r="P60" s="50"/>
      <c r="R60" s="25"/>
    </row>
    <row r="61" spans="2:23">
      <c r="B61" s="45" t="str">
        <f>"*"&amp;Imports_Bio!B19</f>
        <v>*IE,National</v>
      </c>
      <c r="C61" s="21" t="str">
        <f>Imports_Bio!C19</f>
        <v>IMPBIOWCH_S3</v>
      </c>
      <c r="D61" s="21" t="str">
        <f>Imports_Bio!D19</f>
        <v>Import of Wood Chip  - Step 3</v>
      </c>
      <c r="E61" s="22" t="str">
        <f>Commodities!$C$43</f>
        <v>BIOWCH</v>
      </c>
      <c r="F61" s="148">
        <v>0</v>
      </c>
      <c r="G61" s="50">
        <f>G60*2</f>
        <v>1.2199723744456206</v>
      </c>
      <c r="H61" s="50">
        <f t="shared" si="31"/>
        <v>1.2199723744456206</v>
      </c>
      <c r="I61" s="50">
        <f t="shared" si="31"/>
        <v>1.2199723744456206</v>
      </c>
      <c r="J61" s="50">
        <f t="shared" si="31"/>
        <v>1.2199723744456206</v>
      </c>
      <c r="K61" s="50">
        <f t="shared" si="31"/>
        <v>1.2199723744456206</v>
      </c>
      <c r="L61" s="50">
        <f t="shared" si="31"/>
        <v>1.2199723744456206</v>
      </c>
      <c r="M61" s="50">
        <f t="shared" si="31"/>
        <v>1.2199723744456206</v>
      </c>
      <c r="N61" s="197">
        <v>5</v>
      </c>
      <c r="O61" s="62" t="s">
        <v>216</v>
      </c>
      <c r="P61" s="50"/>
      <c r="R61" s="25"/>
    </row>
    <row r="62" spans="2:23">
      <c r="B62" s="45" t="str">
        <f>"*"&amp;Imports_Bio!B20</f>
        <v>*IE,National</v>
      </c>
      <c r="C62" s="45" t="str">
        <f>"*"&amp;Imports_Bio!C20</f>
        <v>*IMPBIOWCH_S4</v>
      </c>
      <c r="D62" s="45" t="str">
        <f>Imports_Bio!D20</f>
        <v>Import of Wood Chip  - Step 4</v>
      </c>
      <c r="E62" s="39" t="str">
        <f>Commodities!$C$43</f>
        <v>BIOWCH</v>
      </c>
      <c r="F62" s="150">
        <v>0</v>
      </c>
      <c r="G62" s="51">
        <f>G63-SUM(G59:G61)</f>
        <v>34.580521056720166</v>
      </c>
      <c r="H62" s="51">
        <f t="shared" ref="H62:M62" si="32">H63-SUM(H59:H61)</f>
        <v>34.580521056720166</v>
      </c>
      <c r="I62" s="51">
        <f t="shared" si="32"/>
        <v>34.580521056720166</v>
      </c>
      <c r="J62" s="51">
        <f t="shared" si="32"/>
        <v>34.580521056720166</v>
      </c>
      <c r="K62" s="51">
        <f t="shared" si="32"/>
        <v>34.580521056720166</v>
      </c>
      <c r="L62" s="51">
        <f t="shared" si="32"/>
        <v>34.580521056720166</v>
      </c>
      <c r="M62" s="51">
        <f t="shared" si="32"/>
        <v>34.580521056720166</v>
      </c>
      <c r="N62" s="198">
        <v>5</v>
      </c>
      <c r="O62" s="63" t="s">
        <v>217</v>
      </c>
      <c r="P62" s="51"/>
      <c r="R62" s="25"/>
    </row>
    <row r="63" spans="2:23" ht="15" thickBot="1">
      <c r="B63" s="48" t="s">
        <v>79</v>
      </c>
      <c r="C63" s="48"/>
      <c r="D63" s="48"/>
      <c r="E63" s="49"/>
      <c r="F63" s="54"/>
      <c r="G63" s="54">
        <f>H63</f>
        <v>36.715472712</v>
      </c>
      <c r="H63" s="54">
        <f>I63</f>
        <v>36.715472712</v>
      </c>
      <c r="I63" s="54">
        <f>'SEAI-AEA_BioData'!G50*Conversions!$C$2/1000</f>
        <v>36.715472712</v>
      </c>
      <c r="J63" s="54">
        <f>I63</f>
        <v>36.715472712</v>
      </c>
      <c r="K63" s="54">
        <f>J63</f>
        <v>36.715472712</v>
      </c>
      <c r="L63" s="54">
        <f>K63</f>
        <v>36.715472712</v>
      </c>
      <c r="M63" s="54">
        <f>L63</f>
        <v>36.715472712</v>
      </c>
      <c r="N63" s="200"/>
      <c r="O63" s="65" t="s">
        <v>80</v>
      </c>
      <c r="P63" s="54"/>
      <c r="R63" s="25"/>
    </row>
    <row r="66" spans="4:13">
      <c r="G66" t="s">
        <v>644</v>
      </c>
    </row>
    <row r="67" spans="4:13" ht="15" thickBot="1">
      <c r="D67" s="23" t="s">
        <v>649</v>
      </c>
      <c r="E67" s="456" t="s">
        <v>642</v>
      </c>
      <c r="F67" s="456" t="s">
        <v>643</v>
      </c>
      <c r="G67" s="456">
        <v>2020</v>
      </c>
      <c r="H67" s="456">
        <v>2025</v>
      </c>
      <c r="I67" s="456">
        <v>2030</v>
      </c>
      <c r="J67" s="456">
        <v>2035</v>
      </c>
      <c r="K67" s="456">
        <v>2040</v>
      </c>
      <c r="L67" s="456">
        <v>2045</v>
      </c>
      <c r="M67" s="456">
        <v>2050</v>
      </c>
    </row>
    <row r="68" spans="4:13">
      <c r="D68" s="43" t="s">
        <v>638</v>
      </c>
      <c r="E68" s="23">
        <f>34.7</f>
        <v>34.700000000000003</v>
      </c>
      <c r="F68" s="451">
        <f>E68/3.6</f>
        <v>9.6388888888888893</v>
      </c>
      <c r="G68" s="23">
        <f>500*3.6/1000</f>
        <v>1.8</v>
      </c>
      <c r="H68" s="23">
        <f>500*3.6/1000</f>
        <v>1.8</v>
      </c>
      <c r="I68" s="23">
        <f>500*3.6/1000</f>
        <v>1.8</v>
      </c>
      <c r="J68" s="23">
        <f>500*3.6/1000</f>
        <v>1.8</v>
      </c>
      <c r="K68" s="23">
        <f>1000*3.6/1000</f>
        <v>3.6</v>
      </c>
      <c r="L68" s="23">
        <f>2000*3.6/1000</f>
        <v>7.2</v>
      </c>
      <c r="M68" s="23">
        <f>2000*3.6/1000</f>
        <v>7.2</v>
      </c>
    </row>
    <row r="69" spans="4:13">
      <c r="D69" s="21" t="s">
        <v>639</v>
      </c>
      <c r="E69" s="23">
        <f>34.7</f>
        <v>34.700000000000003</v>
      </c>
      <c r="F69" s="451">
        <f t="shared" ref="F69:F71" si="33">E69/3.6</f>
        <v>9.6388888888888893</v>
      </c>
      <c r="G69" s="23">
        <v>0</v>
      </c>
      <c r="H69" s="23">
        <f>1000*3.6/1000</f>
        <v>3.6</v>
      </c>
      <c r="I69" s="23">
        <f>5000*3.6/1000</f>
        <v>18</v>
      </c>
      <c r="J69" s="23">
        <f>10000*3.6/1000</f>
        <v>36</v>
      </c>
      <c r="K69" s="23">
        <f>15000*3.6/1000</f>
        <v>54</v>
      </c>
      <c r="L69" s="23">
        <f>17000*3.6/1000</f>
        <v>61.2</v>
      </c>
      <c r="M69" s="23">
        <f>17000*3.6/1000</f>
        <v>61.2</v>
      </c>
    </row>
    <row r="70" spans="4:13">
      <c r="D70" s="21" t="s">
        <v>640</v>
      </c>
      <c r="E70" s="23">
        <f>36.6</f>
        <v>36.6</v>
      </c>
      <c r="F70" s="451">
        <f t="shared" si="33"/>
        <v>10.166666666666666</v>
      </c>
      <c r="G70" s="23">
        <v>0</v>
      </c>
      <c r="H70" s="23">
        <v>0</v>
      </c>
      <c r="I70" s="23">
        <f>15000*3.6/1000</f>
        <v>54</v>
      </c>
      <c r="J70" s="23">
        <f>I70</f>
        <v>54</v>
      </c>
      <c r="K70" s="23">
        <f t="shared" ref="K70:M70" si="34">J70</f>
        <v>54</v>
      </c>
      <c r="L70" s="23">
        <f t="shared" si="34"/>
        <v>54</v>
      </c>
      <c r="M70" s="23">
        <f t="shared" si="34"/>
        <v>54</v>
      </c>
    </row>
    <row r="71" spans="4:13">
      <c r="D71" s="45" t="s">
        <v>641</v>
      </c>
      <c r="E71" s="27">
        <f>40.3</f>
        <v>40.299999999999997</v>
      </c>
      <c r="F71" s="452">
        <f t="shared" si="33"/>
        <v>11.194444444444443</v>
      </c>
      <c r="G71" s="27">
        <v>0</v>
      </c>
      <c r="H71" s="27">
        <v>0</v>
      </c>
      <c r="I71" s="27">
        <v>0</v>
      </c>
      <c r="J71" s="27">
        <f>1000*3.6/1000</f>
        <v>3.6</v>
      </c>
      <c r="K71" s="27">
        <f>10000*3.6/1000</f>
        <v>36</v>
      </c>
      <c r="L71" s="27">
        <f>K71</f>
        <v>36</v>
      </c>
      <c r="M71" s="27">
        <f>L71</f>
        <v>36</v>
      </c>
    </row>
    <row r="72" spans="4:13">
      <c r="E72" s="66"/>
      <c r="F72" s="66" t="s">
        <v>645</v>
      </c>
      <c r="G72" s="66">
        <f>SUM(G68:G71)</f>
        <v>1.8</v>
      </c>
      <c r="H72" s="66">
        <f t="shared" ref="H72:M72" si="35">SUM(H68:H71)</f>
        <v>5.4</v>
      </c>
      <c r="I72" s="66">
        <f t="shared" si="35"/>
        <v>73.8</v>
      </c>
      <c r="J72" s="66">
        <f t="shared" si="35"/>
        <v>95.399999999999991</v>
      </c>
      <c r="K72" s="66">
        <f t="shared" si="35"/>
        <v>147.6</v>
      </c>
      <c r="L72" s="66">
        <f t="shared" si="35"/>
        <v>158.4</v>
      </c>
      <c r="M72" s="66">
        <f t="shared" si="35"/>
        <v>158.4</v>
      </c>
    </row>
    <row r="73" spans="4:13">
      <c r="D73" s="454" t="s">
        <v>647</v>
      </c>
      <c r="E73" s="455" t="s">
        <v>648</v>
      </c>
    </row>
    <row r="80" spans="4:13">
      <c r="D80" s="453"/>
    </row>
  </sheetData>
  <mergeCells count="1">
    <mergeCell ref="K31:K38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B2:O35"/>
  <sheetViews>
    <sheetView zoomScaleNormal="100" workbookViewId="0">
      <selection activeCell="B2" sqref="B2:M5"/>
    </sheetView>
  </sheetViews>
  <sheetFormatPr defaultColWidth="9.21875" defaultRowHeight="14.4"/>
  <cols>
    <col min="2" max="2" width="12.5546875" customWidth="1"/>
    <col min="3" max="3" width="16.21875" customWidth="1"/>
    <col min="4" max="4" width="34.77734375" customWidth="1"/>
    <col min="5" max="5" width="10.77734375" bestFit="1" customWidth="1"/>
    <col min="6" max="8" width="11" customWidth="1"/>
    <col min="9" max="9" width="15.5546875" customWidth="1"/>
    <col min="10" max="10" width="20.77734375" customWidth="1"/>
    <col min="11" max="11" width="17" customWidth="1"/>
    <col min="12" max="12" width="14" customWidth="1"/>
    <col min="13" max="13" width="10.5546875" customWidth="1"/>
    <col min="17" max="17" width="12.77734375" bestFit="1" customWidth="1"/>
    <col min="18" max="18" width="29.77734375" bestFit="1" customWidth="1"/>
  </cols>
  <sheetData>
    <row r="2" spans="2:15" ht="18">
      <c r="B2" s="3" t="s">
        <v>50</v>
      </c>
      <c r="C2" s="3"/>
      <c r="D2" s="4"/>
      <c r="E2" s="5" t="s">
        <v>598</v>
      </c>
      <c r="G2" s="2"/>
      <c r="H2" s="2"/>
      <c r="I2" s="2"/>
      <c r="J2" s="2"/>
      <c r="K2" s="2"/>
      <c r="L2" s="2"/>
      <c r="M2" s="2"/>
      <c r="N2" s="2"/>
      <c r="O2" s="10"/>
    </row>
    <row r="3" spans="2:15">
      <c r="B3" s="11" t="s">
        <v>513</v>
      </c>
      <c r="C3" s="11" t="s">
        <v>2</v>
      </c>
      <c r="D3" s="11" t="s">
        <v>3</v>
      </c>
      <c r="E3" s="6" t="s">
        <v>38</v>
      </c>
      <c r="F3" s="7" t="s">
        <v>51</v>
      </c>
      <c r="G3" s="12" t="s">
        <v>275</v>
      </c>
      <c r="H3" s="12" t="s">
        <v>45</v>
      </c>
      <c r="I3" s="12" t="s">
        <v>433</v>
      </c>
      <c r="J3" s="12" t="s">
        <v>570</v>
      </c>
      <c r="K3" s="12" t="s">
        <v>571</v>
      </c>
      <c r="L3" s="12" t="s">
        <v>207</v>
      </c>
      <c r="M3" s="12" t="s">
        <v>208</v>
      </c>
    </row>
    <row r="4" spans="2:15" ht="15" thickBot="1">
      <c r="B4" s="9" t="s">
        <v>515</v>
      </c>
      <c r="C4" s="9" t="s">
        <v>46</v>
      </c>
      <c r="D4" s="9" t="s">
        <v>47</v>
      </c>
      <c r="E4" s="8"/>
      <c r="F4" s="8" t="s">
        <v>10</v>
      </c>
      <c r="G4" s="8" t="s">
        <v>54</v>
      </c>
      <c r="H4" s="8" t="s">
        <v>54</v>
      </c>
      <c r="I4" s="8" t="s">
        <v>10</v>
      </c>
      <c r="J4" s="8" t="s">
        <v>10</v>
      </c>
      <c r="K4" s="8" t="s">
        <v>10</v>
      </c>
      <c r="L4" s="8" t="s">
        <v>10</v>
      </c>
      <c r="M4" s="8"/>
    </row>
    <row r="5" spans="2:15">
      <c r="B5" s="2" t="str">
        <f>Processes!C42</f>
        <v>IE,National</v>
      </c>
      <c r="C5" s="2" t="str">
        <f>Processes!D42</f>
        <v>MINGASNAT_S1</v>
      </c>
      <c r="D5" s="2" t="str">
        <f>Processes!E42</f>
        <v>Domestic Potential of Natural Gas  - Step 1</v>
      </c>
      <c r="E5" s="16" t="str">
        <f>Commodities!$C$21</f>
        <v>GASNAT</v>
      </c>
      <c r="F5" s="55">
        <v>742.12800479999999</v>
      </c>
      <c r="G5" s="56">
        <v>0.90792311671470816</v>
      </c>
      <c r="H5" s="56">
        <v>1.192910095016825</v>
      </c>
      <c r="I5" s="56">
        <f>'EB2018'!AA2*Conversions!C2</f>
        <v>115.21735253047301</v>
      </c>
      <c r="J5" s="56">
        <f>C31*Conversions!C2</f>
        <v>82.479960000000005</v>
      </c>
      <c r="K5" s="56">
        <f>C32*Conversions!C2</f>
        <v>33.494399999999999</v>
      </c>
      <c r="L5" s="56">
        <f>C33*Conversions!C2</f>
        <v>25.120800000000003</v>
      </c>
      <c r="M5" s="55">
        <v>5</v>
      </c>
    </row>
    <row r="6" spans="2:15">
      <c r="B6" s="2" t="str">
        <f>Processes!C43</f>
        <v>IE,National</v>
      </c>
      <c r="C6" s="2" t="str">
        <f>Processes!D43</f>
        <v>MINGASNAT_S2</v>
      </c>
      <c r="D6" s="2" t="str">
        <f>Processes!E43</f>
        <v>Domestic Potential of Natural Gas  - Step 2</v>
      </c>
      <c r="E6" s="16" t="str">
        <f>Commodities!$C$21</f>
        <v>GASNAT</v>
      </c>
      <c r="F6" s="55">
        <v>88.744650140343495</v>
      </c>
      <c r="G6" s="56">
        <v>1.8</v>
      </c>
      <c r="H6" s="56">
        <v>1.9434992461159508</v>
      </c>
      <c r="I6" s="55">
        <v>0</v>
      </c>
      <c r="J6" s="55"/>
      <c r="K6" s="55"/>
      <c r="L6" s="55"/>
      <c r="M6" s="55">
        <v>5</v>
      </c>
    </row>
    <row r="7" spans="2:15">
      <c r="B7" s="2" t="str">
        <f>Processes!C44</f>
        <v>IE,National</v>
      </c>
      <c r="C7" s="2" t="str">
        <f>Processes!D44</f>
        <v>MINPEAT_S1</v>
      </c>
      <c r="D7" s="2" t="str">
        <f>Processes!E44</f>
        <v>Domestic Potential of Peat  - Step 1</v>
      </c>
      <c r="E7" s="16" t="str">
        <f>Commodities!$C$10</f>
        <v>PEAT</v>
      </c>
      <c r="F7" s="55">
        <v>1960</v>
      </c>
      <c r="G7" s="56">
        <v>0.99399999999999999</v>
      </c>
      <c r="H7" s="56">
        <v>1.2</v>
      </c>
      <c r="I7" s="56">
        <f>'EB2018'!H2*Conversions!C2</f>
        <v>34.161120643357741</v>
      </c>
      <c r="J7" s="56">
        <f>I7</f>
        <v>34.161120643357741</v>
      </c>
      <c r="K7" s="56">
        <f>J7</f>
        <v>34.161120643357741</v>
      </c>
      <c r="L7" s="56">
        <f>MAX(I7:I7)</f>
        <v>34.161120643357741</v>
      </c>
      <c r="M7" s="55">
        <v>5</v>
      </c>
    </row>
    <row r="8" spans="2:15">
      <c r="B8" s="58" t="str">
        <f>Processes!C45</f>
        <v>IE,National</v>
      </c>
      <c r="C8" s="58" t="str">
        <f>Processes!D45</f>
        <v>MINPEAT_S2</v>
      </c>
      <c r="D8" s="58" t="str">
        <f>Processes!E45</f>
        <v>Domestic Potential of Peat  - Step 2</v>
      </c>
      <c r="E8" s="16" t="str">
        <f>Commodities!$C$10</f>
        <v>PEAT</v>
      </c>
      <c r="F8" s="60">
        <v>2400</v>
      </c>
      <c r="G8" s="60">
        <v>0.99399999999999999</v>
      </c>
      <c r="H8" s="60">
        <v>1.2</v>
      </c>
      <c r="I8" s="60">
        <v>0</v>
      </c>
      <c r="J8" s="60"/>
      <c r="K8" s="60"/>
      <c r="L8" s="60"/>
      <c r="M8" s="60">
        <v>5</v>
      </c>
    </row>
    <row r="9" spans="2:15">
      <c r="B9" s="29" t="s">
        <v>66</v>
      </c>
      <c r="C9" s="29"/>
      <c r="D9" s="29"/>
      <c r="E9" s="29"/>
      <c r="F9" s="488" t="s">
        <v>223</v>
      </c>
      <c r="G9" s="488"/>
      <c r="H9" s="488"/>
      <c r="I9" s="192" t="s">
        <v>222</v>
      </c>
      <c r="J9" s="192" t="s">
        <v>576</v>
      </c>
      <c r="K9" s="192" t="s">
        <v>575</v>
      </c>
      <c r="L9" s="126" t="s">
        <v>221</v>
      </c>
      <c r="M9" s="29"/>
    </row>
    <row r="10" spans="2:15">
      <c r="B10" s="2"/>
      <c r="C10" s="2"/>
      <c r="D10" s="2"/>
      <c r="E10" s="2"/>
      <c r="G10" s="136"/>
      <c r="H10" s="2"/>
      <c r="I10" s="2"/>
      <c r="J10" s="2"/>
      <c r="K10" s="2"/>
      <c r="L10" s="2"/>
      <c r="M10" s="2"/>
      <c r="N10" s="2"/>
      <c r="O10" s="2"/>
    </row>
    <row r="11" spans="2:15">
      <c r="B11" s="2"/>
      <c r="C11" s="2"/>
      <c r="D11" s="2"/>
      <c r="E11" s="19"/>
      <c r="F11" s="2"/>
      <c r="H11" s="2"/>
      <c r="I11" s="2"/>
      <c r="J11" s="2"/>
      <c r="K11" s="2"/>
      <c r="L11" s="2"/>
      <c r="M11" s="2"/>
      <c r="N11" s="2"/>
      <c r="O11" s="2"/>
    </row>
    <row r="12" spans="2:15">
      <c r="B12" s="2"/>
      <c r="C12" s="2"/>
      <c r="D12" s="2"/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2:15" ht="18">
      <c r="B13" s="3" t="s">
        <v>55</v>
      </c>
      <c r="C13" s="3"/>
      <c r="D13" s="4"/>
      <c r="E13" s="5" t="s">
        <v>58</v>
      </c>
      <c r="F13" s="2"/>
      <c r="G13" s="2"/>
      <c r="H13" s="2"/>
      <c r="I13" s="2"/>
      <c r="J13" s="2"/>
      <c r="K13" s="2"/>
      <c r="L13" s="2"/>
      <c r="M13" s="2"/>
      <c r="O13" s="2"/>
    </row>
    <row r="14" spans="2:15" ht="27.6">
      <c r="B14" s="11" t="s">
        <v>513</v>
      </c>
      <c r="C14" s="11" t="s">
        <v>2</v>
      </c>
      <c r="D14" s="11" t="s">
        <v>3</v>
      </c>
      <c r="E14" s="6" t="s">
        <v>38</v>
      </c>
      <c r="F14" s="7" t="s">
        <v>39</v>
      </c>
      <c r="G14" s="12" t="s">
        <v>52</v>
      </c>
      <c r="H14" s="12" t="s">
        <v>53</v>
      </c>
      <c r="I14" s="2"/>
      <c r="J14" s="2"/>
      <c r="K14" s="2"/>
      <c r="L14" s="2"/>
      <c r="M14" s="2"/>
      <c r="N14" s="2"/>
      <c r="O14" s="105"/>
    </row>
    <row r="15" spans="2:15" ht="15" thickBot="1">
      <c r="B15" s="8" t="s">
        <v>515</v>
      </c>
      <c r="C15" s="8" t="s">
        <v>46</v>
      </c>
      <c r="D15" s="8" t="s">
        <v>47</v>
      </c>
      <c r="E15" s="8"/>
      <c r="F15" s="8" t="s">
        <v>54</v>
      </c>
      <c r="G15" s="8" t="s">
        <v>10</v>
      </c>
      <c r="H15" s="8" t="s">
        <v>10</v>
      </c>
      <c r="I15" s="2"/>
      <c r="J15" s="2"/>
      <c r="K15" s="2"/>
      <c r="L15" s="2"/>
      <c r="M15" s="2"/>
      <c r="N15" s="2"/>
      <c r="O15" s="106"/>
    </row>
    <row r="16" spans="2:15">
      <c r="B16" s="2" t="str">
        <f>Processes!C46</f>
        <v>IE,National</v>
      </c>
      <c r="C16" s="2" t="str">
        <f>Processes!D46</f>
        <v>MINRENHYD</v>
      </c>
      <c r="D16" s="2" t="str">
        <f>Processes!E46</f>
        <v xml:space="preserve">Domestic Potential of Hydro </v>
      </c>
      <c r="E16" s="16" t="str">
        <f>Commodities!C24</f>
        <v>RENHYD</v>
      </c>
      <c r="F16" s="20"/>
      <c r="G16" s="17"/>
      <c r="H16" s="17"/>
      <c r="I16" s="17"/>
      <c r="J16" s="17"/>
      <c r="K16" s="2"/>
      <c r="L16" s="2"/>
      <c r="M16" s="2"/>
      <c r="N16" s="2"/>
      <c r="O16" s="107"/>
    </row>
    <row r="17" spans="2:15">
      <c r="B17" s="2" t="str">
        <f>Processes!C47</f>
        <v>IE,National</v>
      </c>
      <c r="C17" s="2" t="str">
        <f>Processes!D47</f>
        <v>MINRENWIN</v>
      </c>
      <c r="D17" s="2" t="str">
        <f>Processes!E47</f>
        <v xml:space="preserve">Domestic Potential of Wind </v>
      </c>
      <c r="E17" s="16" t="str">
        <f>Commodities!C25</f>
        <v>RENWIN</v>
      </c>
      <c r="F17" s="20"/>
      <c r="G17" s="17"/>
      <c r="H17" s="17"/>
      <c r="I17" s="17"/>
      <c r="J17" s="17"/>
      <c r="K17" s="2"/>
      <c r="L17" s="2"/>
      <c r="M17" s="2"/>
      <c r="N17" s="2"/>
      <c r="O17" s="108"/>
    </row>
    <row r="18" spans="2:15">
      <c r="B18" s="2" t="str">
        <f>Processes!C48</f>
        <v>IE,National</v>
      </c>
      <c r="C18" s="2" t="str">
        <f>Processes!D48</f>
        <v>MINRENSOL</v>
      </c>
      <c r="D18" s="2" t="str">
        <f>Processes!E48</f>
        <v xml:space="preserve">Domestic Potential of Solar </v>
      </c>
      <c r="E18" s="16" t="str">
        <f>Commodities!C26</f>
        <v>RENSOL</v>
      </c>
      <c r="F18" s="20"/>
      <c r="G18" s="17"/>
      <c r="H18" s="17"/>
      <c r="I18" s="18"/>
      <c r="J18" s="18"/>
      <c r="K18" s="2"/>
      <c r="L18" s="2"/>
      <c r="M18" s="2"/>
      <c r="N18" s="2"/>
      <c r="O18" s="104"/>
    </row>
    <row r="19" spans="2:15">
      <c r="B19" s="2" t="str">
        <f>Processes!C49</f>
        <v>IE,National</v>
      </c>
      <c r="C19" s="2" t="str">
        <f>Processes!D49</f>
        <v>MINMSWAS</v>
      </c>
      <c r="D19" s="2" t="str">
        <f>Processes!E49</f>
        <v xml:space="preserve">Domestic Potential of Municipal Solid Waste </v>
      </c>
      <c r="E19" s="16" t="str">
        <f>Commodities!C27</f>
        <v>MSWAS</v>
      </c>
      <c r="F19" s="2"/>
      <c r="G19" s="2"/>
      <c r="H19" s="2"/>
      <c r="I19" s="2"/>
      <c r="J19" s="2"/>
      <c r="K19" s="2"/>
      <c r="L19" s="2"/>
      <c r="M19" s="2"/>
      <c r="N19" s="2"/>
      <c r="O19" s="104"/>
    </row>
    <row r="20" spans="2:15">
      <c r="B20" s="2" t="str">
        <f>Processes!C50</f>
        <v>IE,National</v>
      </c>
      <c r="C20" s="2" t="str">
        <f>Processes!D50</f>
        <v>MINRENOCE</v>
      </c>
      <c r="D20" s="2" t="str">
        <f>Processes!E50</f>
        <v xml:space="preserve">Domestic Potential of Ocean </v>
      </c>
      <c r="E20" s="16" t="str">
        <f>Commodities!C28</f>
        <v>RENOCE</v>
      </c>
      <c r="F20" s="2"/>
      <c r="G20" s="2"/>
      <c r="H20" s="2"/>
      <c r="I20" s="2"/>
      <c r="J20" s="2"/>
      <c r="K20" s="2"/>
      <c r="L20" s="2"/>
      <c r="M20" s="2"/>
      <c r="N20" s="2"/>
      <c r="O20" s="104"/>
    </row>
    <row r="21" spans="2:15">
      <c r="B21" s="58" t="str">
        <f>Processes!C51</f>
        <v>IE,National</v>
      </c>
      <c r="C21" s="58" t="str">
        <f>Processes!D51</f>
        <v>MINRENAHT</v>
      </c>
      <c r="D21" s="58" t="str">
        <f>Processes!E51</f>
        <v>Domestic Potential of Ambient Heat</v>
      </c>
      <c r="E21" s="59" t="str">
        <f>Commodities!C29</f>
        <v>RENAHT</v>
      </c>
      <c r="F21" s="58"/>
      <c r="G21" s="58"/>
      <c r="H21" s="58"/>
      <c r="I21" s="2"/>
      <c r="J21" s="2"/>
      <c r="K21" s="2"/>
      <c r="L21" s="2"/>
      <c r="M21" s="2"/>
      <c r="N21" s="2"/>
      <c r="O21" s="104"/>
    </row>
    <row r="22" spans="2:15">
      <c r="B22" s="2"/>
      <c r="C22" s="2" t="str">
        <f>Processes!D82</f>
        <v>MINCYC</v>
      </c>
      <c r="D22" s="2" t="str">
        <f>Processes!E82</f>
        <v>Domestic Potential of Cycling</v>
      </c>
      <c r="E22" s="2" t="str">
        <f>Commodities!C51</f>
        <v>CYC</v>
      </c>
      <c r="F22" s="2"/>
      <c r="G22" s="2"/>
      <c r="H22" s="2"/>
      <c r="I22" s="2"/>
      <c r="J22" s="2"/>
      <c r="K22" s="2"/>
      <c r="L22" s="2"/>
      <c r="M22" s="2"/>
      <c r="N22" s="2"/>
      <c r="O22" s="104"/>
    </row>
    <row r="23" spans="2:15">
      <c r="B23" s="2"/>
      <c r="C23" s="2" t="str">
        <f>Processes!D83</f>
        <v>MINWLK</v>
      </c>
      <c r="D23" s="2" t="str">
        <f>Processes!E83</f>
        <v>Domestic Potential of Walking</v>
      </c>
      <c r="E23" s="2" t="str">
        <f>Commodities!C52</f>
        <v>WLK</v>
      </c>
      <c r="O23" s="104"/>
    </row>
    <row r="28" spans="2:15">
      <c r="B28" s="40" t="s">
        <v>568</v>
      </c>
    </row>
    <row r="29" spans="2:15">
      <c r="B29" s="269" t="s">
        <v>574</v>
      </c>
      <c r="C29" s="267" t="s">
        <v>569</v>
      </c>
    </row>
    <row r="30" spans="2:15">
      <c r="B30" s="182">
        <v>2019</v>
      </c>
      <c r="C30" s="266">
        <v>2500</v>
      </c>
    </row>
    <row r="31" spans="2:15">
      <c r="B31" s="182">
        <v>2020</v>
      </c>
      <c r="C31" s="266">
        <v>1970</v>
      </c>
    </row>
    <row r="32" spans="2:15">
      <c r="B32" s="182">
        <v>2025</v>
      </c>
      <c r="C32" s="266">
        <v>800</v>
      </c>
    </row>
    <row r="33" spans="2:3">
      <c r="B33" s="270">
        <v>2027</v>
      </c>
      <c r="C33" s="268">
        <v>600</v>
      </c>
    </row>
    <row r="34" spans="2:3">
      <c r="B34" t="s">
        <v>572</v>
      </c>
    </row>
    <row r="35" spans="2:3">
      <c r="B35" t="s">
        <v>573</v>
      </c>
    </row>
  </sheetData>
  <mergeCells count="1">
    <mergeCell ref="F9:H9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B2:R42"/>
  <sheetViews>
    <sheetView workbookViewId="0">
      <selection activeCell="E23" sqref="E23"/>
    </sheetView>
  </sheetViews>
  <sheetFormatPr defaultColWidth="9.21875" defaultRowHeight="13.8"/>
  <cols>
    <col min="1" max="1" width="9.21875" style="22"/>
    <col min="2" max="2" width="12.77734375" style="22" customWidth="1"/>
    <col min="3" max="3" width="17.21875" style="22" customWidth="1"/>
    <col min="4" max="4" width="69.77734375" style="22" bestFit="1" customWidth="1"/>
    <col min="5" max="5" width="15.77734375" style="22" bestFit="1" customWidth="1"/>
    <col min="6" max="6" width="11.21875" style="22" customWidth="1"/>
    <col min="7" max="9" width="9.21875" style="22"/>
    <col min="10" max="10" width="14.21875" style="22" bestFit="1" customWidth="1"/>
    <col min="11" max="11" width="39.5546875" style="22" bestFit="1" customWidth="1"/>
    <col min="12" max="16384" width="9.21875" style="22"/>
  </cols>
  <sheetData>
    <row r="2" spans="2:18" ht="18">
      <c r="B2" s="3" t="s">
        <v>131</v>
      </c>
      <c r="C2" s="3"/>
      <c r="D2" s="3"/>
      <c r="E2" s="5" t="s">
        <v>58</v>
      </c>
      <c r="F2" s="5"/>
      <c r="G2" s="5"/>
    </row>
    <row r="3" spans="2:18">
      <c r="B3" s="6" t="s">
        <v>513</v>
      </c>
      <c r="C3" s="6" t="s">
        <v>2</v>
      </c>
      <c r="D3" s="6" t="s">
        <v>3</v>
      </c>
      <c r="E3" s="6" t="s">
        <v>38</v>
      </c>
      <c r="F3" s="7" t="s">
        <v>275</v>
      </c>
      <c r="G3" s="38" t="s">
        <v>66</v>
      </c>
    </row>
    <row r="4" spans="2:18" ht="28.2" thickBot="1">
      <c r="B4" s="8" t="s">
        <v>514</v>
      </c>
      <c r="C4" s="8" t="s">
        <v>59</v>
      </c>
      <c r="D4" s="9" t="s">
        <v>47</v>
      </c>
      <c r="E4" s="9" t="s">
        <v>48</v>
      </c>
      <c r="F4" s="8" t="s">
        <v>49</v>
      </c>
      <c r="G4" s="8"/>
    </row>
    <row r="5" spans="2:18" ht="14.4">
      <c r="B5" s="21" t="str">
        <f>Processes!C52</f>
        <v>IE,National</v>
      </c>
      <c r="C5" s="21" t="str">
        <f>Processes!D52</f>
        <v>MINBIOWOO1_S1</v>
      </c>
      <c r="D5" s="22" t="str">
        <f>Processes!E52</f>
        <v>Domestic Potential of Sawmill residues - Step 1</v>
      </c>
      <c r="E5" s="22" t="str">
        <f>Commodities!$C$39</f>
        <v>BIOWOO1</v>
      </c>
      <c r="F5" s="50">
        <v>10</v>
      </c>
      <c r="G5" s="489" t="s">
        <v>142</v>
      </c>
      <c r="R5" s="23"/>
    </row>
    <row r="6" spans="2:18" ht="14.4">
      <c r="B6" s="21" t="str">
        <f>Processes!C55</f>
        <v>IE,National</v>
      </c>
      <c r="C6" s="21" t="str">
        <f>Processes!D55</f>
        <v>MINBIOWOO2_S1</v>
      </c>
      <c r="D6" s="22" t="str">
        <f>Processes!E55</f>
        <v>Domestic Potential of Post-Consumer Recycled Wood - Step 1</v>
      </c>
      <c r="E6" s="22" t="str">
        <f>Commodities!$C$40</f>
        <v>BIOWOO2</v>
      </c>
      <c r="F6" s="50">
        <v>10</v>
      </c>
      <c r="G6" s="490"/>
      <c r="R6" s="23"/>
    </row>
    <row r="7" spans="2:18" ht="14.4">
      <c r="B7" s="21" t="str">
        <f>Processes!C61</f>
        <v>IE,National</v>
      </c>
      <c r="C7" s="21" t="str">
        <f>Processes!D61</f>
        <v>MINBIOMSW1_S1</v>
      </c>
      <c r="D7" s="22" t="str">
        <f>Processes!E61</f>
        <v>Domestic Potential of Biodegradable Municipal Solid Waste potential - Solid  - Step 1</v>
      </c>
      <c r="E7" s="22" t="str">
        <f>Commodities!$C$44</f>
        <v>BIOMSW1</v>
      </c>
      <c r="F7" s="50">
        <v>10</v>
      </c>
      <c r="G7" s="490"/>
      <c r="R7" s="23"/>
    </row>
    <row r="8" spans="2:18" ht="14.4">
      <c r="B8" s="21" t="str">
        <f>Processes!C67</f>
        <v>IE,National</v>
      </c>
      <c r="C8" s="21" t="str">
        <f>Processes!D67</f>
        <v>MINBIOTLW_S1</v>
      </c>
      <c r="D8" s="22" t="str">
        <f>Processes!E67</f>
        <v>Domestic Potential of Tallow  - Step 1</v>
      </c>
      <c r="E8" s="22" t="str">
        <f>Commodities!$C$46</f>
        <v>BIOTLW</v>
      </c>
      <c r="F8" s="50">
        <v>10</v>
      </c>
      <c r="G8" s="490"/>
      <c r="R8" s="23"/>
    </row>
    <row r="9" spans="2:18" ht="14.4">
      <c r="B9" s="21" t="str">
        <f>Processes!C70</f>
        <v>IE,National</v>
      </c>
      <c r="C9" s="21" t="str">
        <f>Processes!D70</f>
        <v>MINBIORVO_S1</v>
      </c>
      <c r="D9" s="22" t="str">
        <f>Processes!E70</f>
        <v>Domestic Potential of Recovered Vegetable Oil  - Step 1</v>
      </c>
      <c r="E9" s="22" t="str">
        <f>Commodities!$C$47</f>
        <v>BIORVO</v>
      </c>
      <c r="F9" s="50">
        <v>10</v>
      </c>
      <c r="G9" s="490"/>
      <c r="R9" s="23"/>
    </row>
    <row r="10" spans="2:18" ht="14.4">
      <c r="B10" s="21" t="str">
        <f>Processes!C58</f>
        <v>IE,National</v>
      </c>
      <c r="C10" s="21" t="str">
        <f>Processes!D58</f>
        <v>MINBIOWOO3_S1</v>
      </c>
      <c r="D10" s="22" t="str">
        <f>Processes!E58</f>
        <v>Domestic Potential of Straw - Step 1</v>
      </c>
      <c r="E10" s="22" t="str">
        <f>Commodities!$C$41</f>
        <v>BIOWOO3</v>
      </c>
      <c r="F10" s="50">
        <v>10</v>
      </c>
      <c r="G10" s="490"/>
      <c r="R10" s="23"/>
    </row>
    <row r="11" spans="2:18" ht="14.4">
      <c r="B11" s="21" t="str">
        <f>Processes!C73</f>
        <v>IE,National</v>
      </c>
      <c r="C11" s="21" t="str">
        <f>Processes!D73</f>
        <v>MINBIOCATW_S1</v>
      </c>
      <c r="D11" s="22" t="str">
        <f>Processes!E73</f>
        <v>Domestic Potential of Cattle Waste  - Step 1</v>
      </c>
      <c r="E11" s="22" t="str">
        <f>Commodities!$C$48</f>
        <v>BIOCATW</v>
      </c>
      <c r="F11" s="50">
        <v>10</v>
      </c>
      <c r="G11" s="490"/>
      <c r="R11" s="23"/>
    </row>
    <row r="12" spans="2:18" ht="14.4">
      <c r="B12" s="21" t="str">
        <f>Processes!C76</f>
        <v>IE,National</v>
      </c>
      <c r="C12" s="21" t="str">
        <f>Processes!D76</f>
        <v>MINBIOPIGW_S1</v>
      </c>
      <c r="D12" s="22" t="str">
        <f>Processes!E76</f>
        <v>Domestic Potential of Pig Waste  - Step 1</v>
      </c>
      <c r="E12" s="22" t="str">
        <f>Commodities!$C$49</f>
        <v>BIOPIGW</v>
      </c>
      <c r="F12" s="50">
        <v>10</v>
      </c>
      <c r="G12" s="490"/>
      <c r="R12" s="23"/>
    </row>
    <row r="13" spans="2:18" ht="14.4">
      <c r="B13" s="21" t="str">
        <f>Processes!C64</f>
        <v>IE,National</v>
      </c>
      <c r="C13" s="21" t="str">
        <f>Processes!D64</f>
        <v>MINBIOMSW2_S1</v>
      </c>
      <c r="D13" s="22" t="str">
        <f>Processes!E64</f>
        <v>Domestic Potential of Biodegradable Municipal Solid Waste  - Step 1</v>
      </c>
      <c r="E13" s="22" t="str">
        <f>Commodities!$C$45&amp;",BIOMUN"</f>
        <v>BIOMSW2,BIOMUN</v>
      </c>
      <c r="F13" s="50">
        <v>10</v>
      </c>
      <c r="G13" s="490"/>
      <c r="R13" s="23"/>
    </row>
    <row r="14" spans="2:18" ht="14.4">
      <c r="B14" s="45" t="str">
        <f>Processes!C79</f>
        <v>IE,National</v>
      </c>
      <c r="C14" s="45" t="str">
        <f>Processes!D79</f>
        <v>MINBIOINDF_S1</v>
      </c>
      <c r="D14" s="39" t="str">
        <f>Processes!E79</f>
        <v>Domestic Potential of Industrial Food Waste  - Step 1</v>
      </c>
      <c r="E14" s="39" t="str">
        <f>Commodities!$C$50</f>
        <v>BIOINDF</v>
      </c>
      <c r="F14" s="51">
        <v>10</v>
      </c>
      <c r="G14" s="490"/>
      <c r="R14" s="23"/>
    </row>
    <row r="15" spans="2:18" ht="14.4">
      <c r="B15" s="21" t="str">
        <f>Processes!C53</f>
        <v>IE,National</v>
      </c>
      <c r="C15" s="21" t="str">
        <f>Processes!D53</f>
        <v>MINBIOWOO1_S2</v>
      </c>
      <c r="D15" s="22" t="str">
        <f>Processes!E53</f>
        <v>Domestic Potential of Sawmill residues - Step 2</v>
      </c>
      <c r="E15" s="22" t="str">
        <f>Commodities!$C$39</f>
        <v>BIOWOO1</v>
      </c>
      <c r="F15" s="50">
        <v>10</v>
      </c>
      <c r="G15" s="490"/>
      <c r="R15" s="23"/>
    </row>
    <row r="16" spans="2:18" ht="14.4">
      <c r="B16" s="21" t="str">
        <f>Processes!C56</f>
        <v>IE,National</v>
      </c>
      <c r="C16" s="21" t="str">
        <f>Processes!D56</f>
        <v>MINBIOWOO2_S2</v>
      </c>
      <c r="D16" s="22" t="str">
        <f>Processes!E56</f>
        <v>Domestic Potential of Post-Consumer Recycled Wood - Step 2</v>
      </c>
      <c r="E16" s="22" t="str">
        <f>Commodities!$C$40</f>
        <v>BIOWOO2</v>
      </c>
      <c r="F16" s="50">
        <v>10</v>
      </c>
      <c r="G16" s="490"/>
      <c r="R16" s="23"/>
    </row>
    <row r="17" spans="2:18" ht="14.4">
      <c r="B17" s="21" t="str">
        <f>Processes!C62</f>
        <v>IE,National</v>
      </c>
      <c r="C17" s="21" t="str">
        <f>Processes!D62</f>
        <v>MINBIOMSW1_S2</v>
      </c>
      <c r="D17" s="22" t="str">
        <f>Processes!E62</f>
        <v>Domestic Potential of Biodegradable Municipal Solid Waste potential - Solid  - Step 2</v>
      </c>
      <c r="E17" s="22" t="str">
        <f>Commodities!$C$44</f>
        <v>BIOMSW1</v>
      </c>
      <c r="F17" s="50">
        <v>10</v>
      </c>
      <c r="G17" s="490"/>
      <c r="R17" s="23"/>
    </row>
    <row r="18" spans="2:18" ht="14.4">
      <c r="B18" s="21" t="str">
        <f>Processes!C68</f>
        <v>IE,National</v>
      </c>
      <c r="C18" s="21" t="str">
        <f>Processes!D68</f>
        <v>MINBIOTLW_S2</v>
      </c>
      <c r="D18" s="22" t="str">
        <f>Processes!E68</f>
        <v>Domestic Potential of Tallow  - Step 2</v>
      </c>
      <c r="E18" s="22" t="str">
        <f>Commodities!$C$46</f>
        <v>BIOTLW</v>
      </c>
      <c r="F18" s="50">
        <v>10</v>
      </c>
      <c r="G18" s="490"/>
      <c r="R18" s="23"/>
    </row>
    <row r="19" spans="2:18" ht="14.4">
      <c r="B19" s="21" t="str">
        <f>Processes!C71</f>
        <v>IE,National</v>
      </c>
      <c r="C19" s="21" t="str">
        <f>Processes!D71</f>
        <v>MINBIORVO_S2</v>
      </c>
      <c r="D19" s="22" t="str">
        <f>Processes!E71</f>
        <v>Domestic Potential of Recovered Vegetable Oil  - Step 2</v>
      </c>
      <c r="E19" s="22" t="str">
        <f>Commodities!$C$47</f>
        <v>BIORVO</v>
      </c>
      <c r="F19" s="50">
        <v>10</v>
      </c>
      <c r="G19" s="490"/>
      <c r="R19" s="23"/>
    </row>
    <row r="20" spans="2:18" ht="14.4">
      <c r="B20" s="21" t="str">
        <f>Processes!C59</f>
        <v>IE,National</v>
      </c>
      <c r="C20" s="21" t="str">
        <f>Processes!D59</f>
        <v>MINBIOWOO3_S2</v>
      </c>
      <c r="D20" s="22" t="str">
        <f>Processes!E59</f>
        <v>Domestic Potential of Straw - Step 2</v>
      </c>
      <c r="E20" s="22" t="str">
        <f>Commodities!$C$41</f>
        <v>BIOWOO3</v>
      </c>
      <c r="F20" s="50">
        <v>10</v>
      </c>
      <c r="G20" s="490"/>
      <c r="R20" s="23"/>
    </row>
    <row r="21" spans="2:18">
      <c r="B21" s="21" t="str">
        <f>Processes!C74</f>
        <v>IE,National</v>
      </c>
      <c r="C21" s="21" t="str">
        <f>Processes!D74</f>
        <v>MINBIOCATW_S2</v>
      </c>
      <c r="D21" s="22" t="str">
        <f>Processes!E74</f>
        <v>Domestic Potential of Cattle Waste  - Step 2</v>
      </c>
      <c r="E21" s="22" t="str">
        <f>Commodities!$C$48</f>
        <v>BIOCATW</v>
      </c>
      <c r="F21" s="50">
        <v>10</v>
      </c>
      <c r="G21" s="490"/>
    </row>
    <row r="22" spans="2:18">
      <c r="B22" s="21" t="str">
        <f>Processes!C77</f>
        <v>IE,National</v>
      </c>
      <c r="C22" s="21" t="str">
        <f>Processes!D77</f>
        <v>MINBIOPIGW_S2</v>
      </c>
      <c r="D22" s="22" t="str">
        <f>Processes!E77</f>
        <v>Domestic Potential of Pig Waste  - Step 2</v>
      </c>
      <c r="E22" s="22" t="str">
        <f>Commodities!$C$49</f>
        <v>BIOPIGW</v>
      </c>
      <c r="F22" s="50">
        <v>10</v>
      </c>
      <c r="G22" s="490"/>
    </row>
    <row r="23" spans="2:18">
      <c r="B23" s="21" t="str">
        <f>Processes!C65</f>
        <v>IE,National</v>
      </c>
      <c r="C23" s="21" t="str">
        <f>Processes!D65</f>
        <v>MINBIOMSW2_S2</v>
      </c>
      <c r="D23" s="22" t="str">
        <f>Processes!E65</f>
        <v>Domestic Potential of Biodegradable Municipal Solid Waste  - Step 2</v>
      </c>
      <c r="E23" s="22" t="str">
        <f>Commodities!$C$45&amp;",BIOMUN"</f>
        <v>BIOMSW2,BIOMUN</v>
      </c>
      <c r="F23" s="50">
        <v>10</v>
      </c>
      <c r="G23" s="490"/>
    </row>
    <row r="24" spans="2:18">
      <c r="B24" s="45" t="str">
        <f>Processes!C80</f>
        <v>IE,National</v>
      </c>
      <c r="C24" s="45" t="str">
        <f>Processes!D80</f>
        <v>MINBIOINDF_S2</v>
      </c>
      <c r="D24" s="39" t="str">
        <f>Processes!E80</f>
        <v>Domestic Potential of Industrial Food Waste  - Step 2</v>
      </c>
      <c r="E24" s="39" t="str">
        <f>Commodities!$C$50</f>
        <v>BIOINDF</v>
      </c>
      <c r="F24" s="51">
        <v>10</v>
      </c>
      <c r="G24" s="490"/>
    </row>
    <row r="25" spans="2:18">
      <c r="B25" s="21" t="str">
        <f>Processes!C54</f>
        <v>IE,National</v>
      </c>
      <c r="C25" s="21" t="str">
        <f>Processes!D54</f>
        <v>MINBIOWOO1_S3</v>
      </c>
      <c r="D25" s="22" t="str">
        <f>Processes!E54</f>
        <v>Domestic Potential of Sawmill residues - Step 3</v>
      </c>
      <c r="E25" s="22" t="str">
        <f>Commodities!$C$39</f>
        <v>BIOWOO1</v>
      </c>
      <c r="F25" s="50">
        <v>10</v>
      </c>
      <c r="G25" s="490"/>
    </row>
    <row r="26" spans="2:18">
      <c r="B26" s="21" t="str">
        <f>Processes!C57</f>
        <v>IE,National</v>
      </c>
      <c r="C26" s="21" t="str">
        <f>Processes!D57</f>
        <v>MINBIOWOO2_S3</v>
      </c>
      <c r="D26" s="22" t="str">
        <f>Processes!E57</f>
        <v>Domestic Potential of Post-Consumer Recycled Wood - Step 3</v>
      </c>
      <c r="E26" s="22" t="str">
        <f>Commodities!$C$40</f>
        <v>BIOWOO2</v>
      </c>
      <c r="F26" s="50">
        <v>10</v>
      </c>
      <c r="G26" s="490"/>
    </row>
    <row r="27" spans="2:18">
      <c r="B27" s="21" t="str">
        <f>Processes!C63</f>
        <v>IE,National</v>
      </c>
      <c r="C27" s="21" t="str">
        <f>Processes!D63</f>
        <v>MINBIOMSW1_S3</v>
      </c>
      <c r="D27" s="22" t="str">
        <f>Processes!E63</f>
        <v>Domestic Potential of Biodegradable Municipal Solid Waste potential - Solid  - Step 3</v>
      </c>
      <c r="E27" s="22" t="str">
        <f>Commodities!$C$44</f>
        <v>BIOMSW1</v>
      </c>
      <c r="F27" s="50">
        <v>10</v>
      </c>
      <c r="G27" s="490"/>
    </row>
    <row r="28" spans="2:18">
      <c r="B28" s="21" t="str">
        <f>Processes!C69</f>
        <v>IE,National</v>
      </c>
      <c r="C28" s="21" t="str">
        <f>Processes!D69</f>
        <v>MINBIOTLW_S3</v>
      </c>
      <c r="D28" s="22" t="str">
        <f>Processes!E69</f>
        <v>Domestic Potential of Tallow  - Step 3</v>
      </c>
      <c r="E28" s="22" t="str">
        <f>Commodities!$C$46</f>
        <v>BIOTLW</v>
      </c>
      <c r="F28" s="50">
        <v>10</v>
      </c>
      <c r="G28" s="490"/>
    </row>
    <row r="29" spans="2:18">
      <c r="B29" s="21" t="str">
        <f>Processes!C72</f>
        <v>IE,National</v>
      </c>
      <c r="C29" s="21" t="str">
        <f>Processes!D72</f>
        <v>MINBIORVO_S3</v>
      </c>
      <c r="D29" s="22" t="str">
        <f>Processes!E72</f>
        <v>Domestic Potential of Recovered Vegetable Oil  - Step 3</v>
      </c>
      <c r="E29" s="22" t="str">
        <f>Commodities!$C$47</f>
        <v>BIORVO</v>
      </c>
      <c r="F29" s="50">
        <v>10</v>
      </c>
      <c r="G29" s="490"/>
    </row>
    <row r="30" spans="2:18">
      <c r="B30" s="21" t="str">
        <f>Processes!C60</f>
        <v>IE,National</v>
      </c>
      <c r="C30" s="21" t="str">
        <f>Processes!D60</f>
        <v>MINBIOWOO3_S3</v>
      </c>
      <c r="D30" s="22" t="str">
        <f>Processes!E60</f>
        <v>Domestic Potential of Straw - Step 3</v>
      </c>
      <c r="E30" s="22" t="str">
        <f>Commodities!$C$41</f>
        <v>BIOWOO3</v>
      </c>
      <c r="F30" s="50">
        <v>10</v>
      </c>
      <c r="G30" s="490"/>
    </row>
    <row r="31" spans="2:18">
      <c r="B31" s="21" t="str">
        <f>Processes!C75</f>
        <v>IE,National</v>
      </c>
      <c r="C31" s="21" t="str">
        <f>Processes!D75</f>
        <v>MINBIOCATW_S3</v>
      </c>
      <c r="D31" s="22" t="str">
        <f>Processes!E75</f>
        <v>Domestic Potential of Cattle Waste  - Step 3</v>
      </c>
      <c r="E31" s="22" t="str">
        <f>Commodities!$C$48</f>
        <v>BIOCATW</v>
      </c>
      <c r="F31" s="50">
        <v>10</v>
      </c>
      <c r="G31" s="490"/>
    </row>
    <row r="32" spans="2:18">
      <c r="B32" s="21" t="str">
        <f>Processes!C78</f>
        <v>IE,National</v>
      </c>
      <c r="C32" s="21" t="str">
        <f>Processes!D78</f>
        <v>MINBIOPIGW_S3</v>
      </c>
      <c r="D32" s="22" t="str">
        <f>Processes!E78</f>
        <v>Domestic Potential of Pig Waste  - Step 3</v>
      </c>
      <c r="E32" s="22" t="str">
        <f>Commodities!$C$49</f>
        <v>BIOPIGW</v>
      </c>
      <c r="F32" s="50">
        <v>10</v>
      </c>
      <c r="G32" s="490"/>
    </row>
    <row r="33" spans="2:7">
      <c r="B33" s="21" t="str">
        <f>Processes!C66</f>
        <v>IE,National</v>
      </c>
      <c r="C33" s="21" t="str">
        <f>Processes!D66</f>
        <v>MINBIOMSW2_S3</v>
      </c>
      <c r="D33" s="22" t="str">
        <f>Processes!E66</f>
        <v>Domestic Potential of Biodegradable Municipal Solid Waste  - Step 3</v>
      </c>
      <c r="E33" s="22" t="str">
        <f>Commodities!$C$45&amp;",BIOMUN"</f>
        <v>BIOMSW2,BIOMUN</v>
      </c>
      <c r="F33" s="50">
        <v>10</v>
      </c>
      <c r="G33" s="490"/>
    </row>
    <row r="34" spans="2:7">
      <c r="B34" s="45" t="str">
        <f>Processes!C81</f>
        <v>IE,National</v>
      </c>
      <c r="C34" s="45" t="str">
        <f>Processes!D81</f>
        <v>MINBIOINDF_S3</v>
      </c>
      <c r="D34" s="39" t="str">
        <f>Processes!E81</f>
        <v>Domestic Potential of Industrial Food Waste  - Step 3</v>
      </c>
      <c r="E34" s="39" t="str">
        <f>Commodities!$C$50</f>
        <v>BIOINDF</v>
      </c>
      <c r="F34" s="51">
        <v>10</v>
      </c>
      <c r="G34" s="491"/>
    </row>
    <row r="35" spans="2:7">
      <c r="B35" s="21"/>
      <c r="C35" s="21"/>
      <c r="F35" s="50"/>
      <c r="G35" s="190"/>
    </row>
    <row r="36" spans="2:7">
      <c r="B36" s="21"/>
      <c r="C36" s="21"/>
      <c r="F36" s="50"/>
      <c r="G36" s="190"/>
    </row>
    <row r="37" spans="2:7" ht="14.4">
      <c r="B37"/>
      <c r="C37"/>
      <c r="D37"/>
      <c r="E37"/>
      <c r="F37"/>
      <c r="G37"/>
    </row>
    <row r="38" spans="2:7" ht="14.4">
      <c r="B38"/>
      <c r="C38"/>
      <c r="D38"/>
      <c r="E38"/>
      <c r="F38"/>
      <c r="G38"/>
    </row>
    <row r="39" spans="2:7" ht="14.4">
      <c r="B39"/>
      <c r="C39"/>
      <c r="D39"/>
      <c r="E39"/>
      <c r="F39"/>
      <c r="G39"/>
    </row>
    <row r="40" spans="2:7" ht="14.4">
      <c r="B40"/>
      <c r="C40"/>
      <c r="D40"/>
      <c r="E40"/>
      <c r="F40"/>
      <c r="G40"/>
    </row>
    <row r="41" spans="2:7" ht="14.4">
      <c r="B41"/>
      <c r="C41"/>
      <c r="D41"/>
      <c r="E41"/>
      <c r="F41"/>
      <c r="G41"/>
    </row>
    <row r="42" spans="2:7" ht="14.4">
      <c r="B42"/>
      <c r="C42"/>
      <c r="D42"/>
      <c r="E42"/>
      <c r="F42"/>
      <c r="G42"/>
    </row>
  </sheetData>
  <mergeCells count="1">
    <mergeCell ref="G5:G3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B1:AD35"/>
  <sheetViews>
    <sheetView workbookViewId="0">
      <selection activeCell="O14" sqref="O14"/>
    </sheetView>
  </sheetViews>
  <sheetFormatPr defaultColWidth="9.21875" defaultRowHeight="14.4"/>
  <cols>
    <col min="1" max="1" width="9.21875" style="23"/>
    <col min="2" max="2" width="9.77734375" style="23" bestFit="1" customWidth="1"/>
    <col min="3" max="3" width="13.5546875" style="23" customWidth="1"/>
    <col min="4" max="4" width="17" style="23" bestFit="1" customWidth="1"/>
    <col min="5" max="5" width="17.21875" style="23" bestFit="1" customWidth="1"/>
    <col min="6" max="6" width="9.21875" style="23"/>
    <col min="7" max="20" width="9.21875" style="25" customWidth="1"/>
    <col min="21" max="23" width="9.21875" style="23" customWidth="1"/>
    <col min="24" max="24" width="28.5546875" style="23" bestFit="1" customWidth="1"/>
    <col min="25" max="25" width="9.21875" style="23"/>
    <col min="26" max="26" width="13.5546875" style="23" bestFit="1" customWidth="1"/>
    <col min="27" max="27" width="17" style="23" bestFit="1" customWidth="1"/>
    <col min="28" max="16384" width="9.21875" style="23"/>
  </cols>
  <sheetData>
    <row r="1" spans="2:26">
      <c r="R1" s="23"/>
      <c r="S1" s="23"/>
      <c r="T1" s="23"/>
    </row>
    <row r="2" spans="2:26" ht="18">
      <c r="B2" s="112" t="s">
        <v>145</v>
      </c>
      <c r="C2" s="113"/>
      <c r="D2" s="113"/>
      <c r="E2" s="114"/>
      <c r="F2" s="5" t="s">
        <v>598</v>
      </c>
      <c r="G2" s="120"/>
      <c r="H2" s="121"/>
      <c r="I2" s="121"/>
      <c r="J2" s="121"/>
      <c r="K2" s="121"/>
      <c r="L2" s="121"/>
      <c r="M2" s="121"/>
      <c r="N2" s="121"/>
      <c r="O2" s="122"/>
      <c r="P2" s="122"/>
      <c r="Q2" s="122"/>
      <c r="R2" s="123"/>
      <c r="S2" s="124"/>
      <c r="T2" s="23"/>
    </row>
    <row r="3" spans="2:26" ht="27.6">
      <c r="B3" s="110" t="s">
        <v>513</v>
      </c>
      <c r="C3" s="110" t="s">
        <v>2</v>
      </c>
      <c r="D3" s="110" t="s">
        <v>3</v>
      </c>
      <c r="E3" s="110" t="s">
        <v>64</v>
      </c>
      <c r="F3" s="110" t="s">
        <v>38</v>
      </c>
      <c r="G3" s="109" t="s">
        <v>431</v>
      </c>
      <c r="H3" s="109" t="s">
        <v>219</v>
      </c>
      <c r="I3" s="109" t="s">
        <v>434</v>
      </c>
      <c r="J3" s="109" t="s">
        <v>432</v>
      </c>
      <c r="K3" s="109" t="s">
        <v>433</v>
      </c>
      <c r="L3" s="109" t="s">
        <v>207</v>
      </c>
      <c r="M3" s="109" t="s">
        <v>208</v>
      </c>
      <c r="N3" s="109" t="s">
        <v>146</v>
      </c>
      <c r="O3" s="109" t="s">
        <v>147</v>
      </c>
      <c r="P3" s="109" t="s">
        <v>277</v>
      </c>
      <c r="Q3" s="111" t="s">
        <v>66</v>
      </c>
      <c r="R3" s="23"/>
      <c r="S3" s="23"/>
      <c r="T3" s="23"/>
    </row>
    <row r="4" spans="2:26" ht="14.25" customHeight="1" thickBot="1">
      <c r="B4" s="9" t="s">
        <v>148</v>
      </c>
      <c r="C4" s="9"/>
      <c r="D4" s="9"/>
      <c r="E4" s="9"/>
      <c r="F4" s="9"/>
      <c r="G4" s="137" t="s">
        <v>212</v>
      </c>
      <c r="H4" s="8"/>
      <c r="I4" s="8"/>
      <c r="J4" s="8"/>
      <c r="K4" s="8"/>
      <c r="L4" s="8"/>
      <c r="M4" s="8"/>
      <c r="N4" s="8" t="s">
        <v>149</v>
      </c>
      <c r="O4" s="8" t="s">
        <v>150</v>
      </c>
      <c r="P4" s="8" t="s">
        <v>54</v>
      </c>
      <c r="Q4" s="9"/>
      <c r="R4" s="23"/>
      <c r="S4" s="23"/>
      <c r="T4" s="23"/>
    </row>
    <row r="5" spans="2:26">
      <c r="B5" s="116" t="str">
        <f>Processes!C86</f>
        <v>IE,National</v>
      </c>
      <c r="C5" s="116" t="str">
        <f>Processes!D86</f>
        <v>SREFOILCRD_Whitegate</v>
      </c>
      <c r="D5" s="116" t="str">
        <f>Processes!E86</f>
        <v>Refinery of Crude Oil  - Whitegate</v>
      </c>
      <c r="E5" s="2" t="str">
        <f>Commodities!C11</f>
        <v>OILCRD</v>
      </c>
      <c r="F5" s="22"/>
      <c r="G5" s="103"/>
      <c r="H5" s="103"/>
      <c r="I5" s="103"/>
      <c r="J5" s="142">
        <f>(SUM('EB2018'!O20:Z20)-SUM('EB2018'!O25:Z25))/'EB2018'!M14</f>
        <v>0.9923342574100722</v>
      </c>
      <c r="K5" s="143">
        <f>('EB2018'!L14)*Conversions!$C$2</f>
        <v>131.08836734189899</v>
      </c>
      <c r="L5" s="139">
        <f>MAX(K5:K5)</f>
        <v>131.08836734189899</v>
      </c>
      <c r="M5" s="139">
        <v>5</v>
      </c>
      <c r="N5" s="103">
        <v>50</v>
      </c>
      <c r="O5" s="22"/>
      <c r="P5" s="22"/>
      <c r="Q5" s="141" t="s">
        <v>213</v>
      </c>
      <c r="R5" s="23"/>
      <c r="S5" s="23"/>
      <c r="T5" s="23"/>
    </row>
    <row r="6" spans="2:26">
      <c r="C6" s="2"/>
      <c r="D6" s="106"/>
      <c r="E6" s="2"/>
      <c r="F6" s="2" t="str">
        <f>Commodities!C12</f>
        <v>OILRFG</v>
      </c>
      <c r="G6" s="222">
        <f>ROUNDUP(E24*$D$22,4)</f>
        <v>0</v>
      </c>
      <c r="H6" s="138">
        <f>MAX(G6)*1.1</f>
        <v>0</v>
      </c>
      <c r="I6" s="194">
        <v>5</v>
      </c>
      <c r="J6" s="103"/>
      <c r="K6" s="103"/>
      <c r="L6" s="103"/>
      <c r="M6" s="103"/>
      <c r="N6" s="103"/>
      <c r="O6" s="22"/>
      <c r="P6" s="139"/>
      <c r="Q6" s="2" t="s">
        <v>171</v>
      </c>
      <c r="R6" s="23"/>
      <c r="S6" s="23"/>
      <c r="T6" s="23"/>
    </row>
    <row r="7" spans="2:26">
      <c r="C7" s="5"/>
      <c r="D7" s="115"/>
      <c r="E7" s="16"/>
      <c r="F7" s="2" t="s">
        <v>30</v>
      </c>
      <c r="G7" s="222">
        <f t="shared" ref="G7:G17" si="0">ROUNDUP(E25*$D$22,4)</f>
        <v>0.2084</v>
      </c>
      <c r="H7" s="138">
        <f>MAX(G7)*1.1</f>
        <v>0.22924000000000003</v>
      </c>
      <c r="I7" s="194">
        <v>5</v>
      </c>
      <c r="J7" s="103"/>
      <c r="K7" s="103"/>
      <c r="L7" s="103"/>
      <c r="M7" s="103"/>
      <c r="N7" s="103"/>
      <c r="O7" s="22"/>
      <c r="P7" s="140">
        <v>1.7</v>
      </c>
      <c r="Q7" s="2" t="s">
        <v>172</v>
      </c>
      <c r="R7" s="23"/>
      <c r="S7" s="23"/>
      <c r="T7" s="23"/>
    </row>
    <row r="8" spans="2:26">
      <c r="C8" s="5"/>
      <c r="D8" s="117"/>
      <c r="E8" s="16"/>
      <c r="F8" s="2" t="str">
        <f>Commodities!C13</f>
        <v>OILKER</v>
      </c>
      <c r="G8" s="222">
        <f t="shared" si="0"/>
        <v>7.3800000000000004E-2</v>
      </c>
      <c r="H8" s="138">
        <f>MAX(G8)*1.1</f>
        <v>8.1180000000000016E-2</v>
      </c>
      <c r="I8" s="194">
        <v>5</v>
      </c>
      <c r="J8" s="103"/>
      <c r="K8" s="103"/>
      <c r="L8" s="103"/>
      <c r="M8" s="103"/>
      <c r="N8" s="103"/>
      <c r="O8" s="22"/>
      <c r="P8" s="140">
        <v>1.7</v>
      </c>
      <c r="Q8" s="2" t="s">
        <v>173</v>
      </c>
      <c r="R8" s="23"/>
      <c r="S8" s="23"/>
      <c r="T8" s="23"/>
    </row>
    <row r="9" spans="2:26">
      <c r="C9" s="118" t="s">
        <v>211</v>
      </c>
      <c r="D9" s="117"/>
      <c r="E9" s="16"/>
      <c r="F9" s="2" t="s">
        <v>211</v>
      </c>
      <c r="G9" s="222">
        <f t="shared" si="0"/>
        <v>0</v>
      </c>
      <c r="H9" s="138"/>
      <c r="I9" s="194">
        <v>5</v>
      </c>
      <c r="J9" s="103"/>
      <c r="K9" s="103"/>
      <c r="L9" s="103"/>
      <c r="M9" s="103"/>
      <c r="N9" s="103"/>
      <c r="O9" s="22"/>
      <c r="P9" s="140"/>
      <c r="Q9" s="2" t="s">
        <v>174</v>
      </c>
      <c r="R9" s="23"/>
      <c r="S9" s="23"/>
      <c r="T9" s="23"/>
    </row>
    <row r="10" spans="2:26">
      <c r="C10" s="5"/>
      <c r="D10" s="117"/>
      <c r="E10" s="16"/>
      <c r="F10" s="2" t="str">
        <f>Commodities!C14</f>
        <v>OILHFO</v>
      </c>
      <c r="G10" s="222">
        <f t="shared" si="0"/>
        <v>0.31269999999999998</v>
      </c>
      <c r="H10" s="138">
        <f>MAX(G10)*1.1</f>
        <v>0.34397</v>
      </c>
      <c r="I10" s="194">
        <v>5</v>
      </c>
      <c r="J10" s="103"/>
      <c r="K10" s="103"/>
      <c r="L10" s="103"/>
      <c r="M10" s="103"/>
      <c r="N10" s="103"/>
      <c r="O10" s="22"/>
      <c r="P10" s="140">
        <v>0.83603571428571199</v>
      </c>
      <c r="Q10" s="2" t="s">
        <v>175</v>
      </c>
      <c r="R10" s="23"/>
      <c r="S10" s="23"/>
      <c r="T10" s="23"/>
    </row>
    <row r="11" spans="2:26">
      <c r="C11" s="118"/>
      <c r="D11" s="117"/>
      <c r="E11" s="16"/>
      <c r="F11" s="2" t="str">
        <f>Commodities!C16</f>
        <v>OILLPG</v>
      </c>
      <c r="G11" s="222">
        <f t="shared" si="0"/>
        <v>2.1100000000000001E-2</v>
      </c>
      <c r="H11" s="138"/>
      <c r="I11" s="194">
        <v>5</v>
      </c>
      <c r="J11" s="124"/>
      <c r="K11" s="124"/>
      <c r="L11" s="124"/>
      <c r="M11" s="124"/>
      <c r="N11" s="124"/>
      <c r="O11" s="22"/>
      <c r="P11" s="140">
        <v>1.3357142857142801</v>
      </c>
      <c r="Q11" s="2" t="s">
        <v>176</v>
      </c>
      <c r="R11" s="23"/>
      <c r="S11" s="23"/>
      <c r="T11" s="23"/>
    </row>
    <row r="12" spans="2:26">
      <c r="C12" s="118"/>
      <c r="D12" s="117"/>
      <c r="E12" s="16"/>
      <c r="F12" s="2" t="str">
        <f>Commodities!C15</f>
        <v>OILDST</v>
      </c>
      <c r="G12" s="222">
        <f t="shared" si="0"/>
        <v>0.37219999999999998</v>
      </c>
      <c r="H12" s="138">
        <f>MAX(G12)*1.1</f>
        <v>0.40942000000000001</v>
      </c>
      <c r="I12" s="194">
        <v>5</v>
      </c>
      <c r="J12" s="124"/>
      <c r="K12" s="124"/>
      <c r="L12" s="124"/>
      <c r="M12" s="124"/>
      <c r="N12" s="124"/>
      <c r="O12" s="22"/>
      <c r="P12" s="140">
        <v>1.5785714285714201</v>
      </c>
      <c r="Q12" s="2" t="s">
        <v>177</v>
      </c>
      <c r="R12" s="23"/>
      <c r="S12" s="23"/>
      <c r="T12" s="23"/>
    </row>
    <row r="13" spans="2:26">
      <c r="C13" s="118"/>
      <c r="D13" s="117"/>
      <c r="E13" s="16"/>
      <c r="F13" s="2" t="str">
        <f>Commodities!C18</f>
        <v>OILCOK</v>
      </c>
      <c r="G13" s="222">
        <f t="shared" si="0"/>
        <v>0</v>
      </c>
      <c r="H13" s="138"/>
      <c r="I13" s="194">
        <v>5</v>
      </c>
      <c r="J13" s="124"/>
      <c r="K13" s="124"/>
      <c r="L13" s="124"/>
      <c r="M13" s="124"/>
      <c r="N13" s="124"/>
      <c r="O13" s="22"/>
      <c r="P13" s="140"/>
      <c r="Q13" s="2" t="s">
        <v>178</v>
      </c>
      <c r="R13" s="23"/>
      <c r="S13" s="23"/>
      <c r="T13" s="23"/>
    </row>
    <row r="14" spans="2:26">
      <c r="C14" s="118"/>
      <c r="D14" s="117"/>
      <c r="E14" s="16"/>
      <c r="F14" s="2" t="str">
        <f>Commodities!C19</f>
        <v>OILNAP</v>
      </c>
      <c r="G14" s="222">
        <f t="shared" si="0"/>
        <v>1.2E-2</v>
      </c>
      <c r="H14" s="138"/>
      <c r="I14" s="194">
        <v>5</v>
      </c>
      <c r="J14" s="124"/>
      <c r="K14" s="124"/>
      <c r="L14" s="124"/>
      <c r="M14" s="124"/>
      <c r="N14" s="124"/>
      <c r="O14" s="22"/>
      <c r="P14" s="140">
        <v>1.21428571428571</v>
      </c>
      <c r="Q14" s="2" t="s">
        <v>179</v>
      </c>
      <c r="R14" s="23"/>
      <c r="S14" s="23"/>
      <c r="T14" s="23"/>
    </row>
    <row r="15" spans="2:26">
      <c r="C15" s="118" t="s">
        <v>211</v>
      </c>
      <c r="D15" s="117"/>
      <c r="E15" s="16"/>
      <c r="F15" s="2" t="s">
        <v>211</v>
      </c>
      <c r="G15" s="222">
        <f t="shared" si="0"/>
        <v>0</v>
      </c>
      <c r="H15" s="138"/>
      <c r="I15" s="194">
        <v>5</v>
      </c>
      <c r="J15" s="124"/>
      <c r="K15" s="124"/>
      <c r="L15" s="124"/>
      <c r="M15" s="124"/>
      <c r="N15" s="124"/>
      <c r="O15" s="22"/>
      <c r="P15" s="140"/>
      <c r="Q15" s="2" t="s">
        <v>180</v>
      </c>
      <c r="R15" s="23"/>
      <c r="S15" s="23"/>
      <c r="T15" s="23"/>
    </row>
    <row r="16" spans="2:26">
      <c r="C16" s="118" t="s">
        <v>211</v>
      </c>
      <c r="D16" s="22"/>
      <c r="E16" s="22"/>
      <c r="F16" s="2" t="s">
        <v>211</v>
      </c>
      <c r="G16" s="222">
        <f t="shared" si="0"/>
        <v>0</v>
      </c>
      <c r="H16" s="138"/>
      <c r="I16" s="194">
        <v>5</v>
      </c>
      <c r="J16" s="22"/>
      <c r="K16" s="22"/>
      <c r="L16" s="22"/>
      <c r="M16" s="22"/>
      <c r="N16" s="22"/>
      <c r="O16" s="22"/>
      <c r="P16" s="140"/>
      <c r="Q16" s="2" t="s">
        <v>181</v>
      </c>
      <c r="R16" s="23"/>
      <c r="S16" s="23"/>
      <c r="T16" s="23"/>
      <c r="X16" s="119"/>
      <c r="Y16" s="119"/>
      <c r="Z16" s="119"/>
    </row>
    <row r="17" spans="3:30">
      <c r="C17" s="118" t="s">
        <v>211</v>
      </c>
      <c r="D17" s="22"/>
      <c r="E17" s="22"/>
      <c r="F17" s="2" t="s">
        <v>211</v>
      </c>
      <c r="G17" s="222">
        <f t="shared" si="0"/>
        <v>0</v>
      </c>
      <c r="H17" s="138"/>
      <c r="I17" s="194">
        <v>5</v>
      </c>
      <c r="J17" s="103"/>
      <c r="K17" s="125"/>
      <c r="L17" s="22"/>
      <c r="M17" s="22"/>
      <c r="N17" s="103"/>
      <c r="O17" s="103"/>
      <c r="P17" s="140"/>
      <c r="Q17" s="2" t="s">
        <v>182</v>
      </c>
      <c r="R17" s="23"/>
      <c r="S17" s="23"/>
      <c r="T17" s="23"/>
      <c r="X17" s="119"/>
      <c r="Y17" s="119"/>
    </row>
    <row r="18" spans="3:30">
      <c r="N18" s="88"/>
      <c r="O18" s="88"/>
      <c r="P18" s="88"/>
      <c r="Q18" s="88"/>
      <c r="R18" s="23"/>
      <c r="S18" s="23"/>
      <c r="U18" s="25"/>
      <c r="AC18" s="119"/>
      <c r="AD18" s="119"/>
    </row>
    <row r="22" spans="3:30">
      <c r="C22" s="23" t="s">
        <v>453</v>
      </c>
      <c r="D22" s="220">
        <f>1/SUM(E24:E35)</f>
        <v>0.99828981063720079</v>
      </c>
    </row>
    <row r="24" spans="3:30">
      <c r="C24" s="2" t="str">
        <f>Commodities!C12</f>
        <v>OILRFG</v>
      </c>
      <c r="D24" s="142">
        <f>('EB2018'!O$20-'EB2018'!O$25)/(SUM('EB2018'!$O$20:$Z$20)-SUM('EB2018'!$O$25:$Z$25))</f>
        <v>-1.7131191208968866E-3</v>
      </c>
      <c r="E24" s="221">
        <f>IF(D24&lt;0,0,D24)</f>
        <v>0</v>
      </c>
    </row>
    <row r="25" spans="3:30">
      <c r="C25" s="2" t="s">
        <v>30</v>
      </c>
      <c r="D25" s="142">
        <f>('EB2018'!P$20-'EB2018'!P$25)/(SUM('EB2018'!$O$20:$Z$20)-SUM('EB2018'!$O$25:$Z$25))</f>
        <v>0.20874581836826736</v>
      </c>
      <c r="E25" s="221">
        <f t="shared" ref="E25:E35" si="1">IF(D25&lt;0,0,D25)</f>
        <v>0.20874581836826736</v>
      </c>
    </row>
    <row r="26" spans="3:30">
      <c r="C26" s="2" t="str">
        <f>Commodities!C13</f>
        <v>OILKER</v>
      </c>
      <c r="D26" s="142">
        <f>('EB2018'!Q$20-'EB2018'!Q$25)/(SUM('EB2018'!$O$20:$Z$20)-SUM('EB2018'!$O$25:$Z$25))</f>
        <v>7.3904025265425846E-2</v>
      </c>
      <c r="E26" s="221">
        <f t="shared" si="1"/>
        <v>7.3904025265425846E-2</v>
      </c>
    </row>
    <row r="27" spans="3:30">
      <c r="C27" s="2" t="s">
        <v>211</v>
      </c>
      <c r="D27" s="142">
        <f>('EB2018'!R$20-'EB2018'!R$25)/(SUM('EB2018'!$O$20:$Z$20)-SUM('EB2018'!$O$25:$Z$25))</f>
        <v>0</v>
      </c>
      <c r="E27" s="221">
        <f t="shared" si="1"/>
        <v>0</v>
      </c>
    </row>
    <row r="28" spans="3:30">
      <c r="C28" s="2" t="str">
        <f>Commodities!C14</f>
        <v>OILHFO</v>
      </c>
      <c r="D28" s="142">
        <f>('EB2018'!S$20-'EB2018'!S$25)/(SUM('EB2018'!$O$20:$Z$20)-SUM('EB2018'!$O$25:$Z$25))</f>
        <v>0.31316597681323771</v>
      </c>
      <c r="E28" s="221">
        <f t="shared" si="1"/>
        <v>0.31316597681323771</v>
      </c>
    </row>
    <row r="29" spans="3:30">
      <c r="C29" s="2" t="str">
        <f>Commodities!C16</f>
        <v>OILLPG</v>
      </c>
      <c r="D29" s="142">
        <f>('EB2018'!T$20-'EB2018'!T$25)/(SUM('EB2018'!$O$20:$Z$20)-SUM('EB2018'!$O$25:$Z$25))</f>
        <v>2.1115616096741348E-2</v>
      </c>
      <c r="E29" s="221">
        <f t="shared" si="1"/>
        <v>2.1115616096741348E-2</v>
      </c>
    </row>
    <row r="30" spans="3:30">
      <c r="C30" s="2" t="str">
        <f>Commodities!C15</f>
        <v>OILDST</v>
      </c>
      <c r="D30" s="142">
        <f>('EB2018'!U$20-'EB2018'!U$25)/(SUM('EB2018'!$O$20:$Z$20)-SUM('EB2018'!$O$25:$Z$25))</f>
        <v>0.37280233462444617</v>
      </c>
      <c r="E30" s="221">
        <f t="shared" si="1"/>
        <v>0.37280233462444617</v>
      </c>
    </row>
    <row r="31" spans="3:30">
      <c r="C31" s="2" t="str">
        <f>Commodities!C18</f>
        <v>OILCOK</v>
      </c>
      <c r="D31" s="142">
        <f>('EB2018'!V$20-'EB2018'!V$25)/(SUM('EB2018'!$O$20:$Z$20)-SUM('EB2018'!$O$25:$Z$25))</f>
        <v>0</v>
      </c>
      <c r="E31" s="221">
        <f t="shared" si="1"/>
        <v>0</v>
      </c>
    </row>
    <row r="32" spans="3:30">
      <c r="C32" s="2" t="str">
        <f>Commodities!C19</f>
        <v>OILNAP</v>
      </c>
      <c r="D32" s="142">
        <f>('EB2018'!W$20-'EB2018'!W$25)/(SUM('EB2018'!$O$20:$Z$20)-SUM('EB2018'!$O$25:$Z$25))</f>
        <v>1.1979347952778552E-2</v>
      </c>
      <c r="E32" s="221">
        <f t="shared" si="1"/>
        <v>1.1979347952778552E-2</v>
      </c>
    </row>
    <row r="33" spans="3:5">
      <c r="C33" s="2" t="s">
        <v>211</v>
      </c>
      <c r="D33" s="142">
        <f>('EB2018'!X$20-'EB2018'!X$25)/(SUM('EB2018'!$O$20:$Z$20)-SUM('EB2018'!$O$25:$Z$25))</f>
        <v>0</v>
      </c>
      <c r="E33" s="221">
        <f t="shared" si="1"/>
        <v>0</v>
      </c>
    </row>
    <row r="34" spans="3:5">
      <c r="C34" s="2" t="s">
        <v>211</v>
      </c>
      <c r="D34" s="142">
        <f>('EB2018'!Y$20-'EB2018'!Y$25)/(SUM('EB2018'!$O$20:$Z$20)-SUM('EB2018'!$O$25:$Z$25))</f>
        <v>0</v>
      </c>
      <c r="E34" s="221">
        <f t="shared" si="1"/>
        <v>0</v>
      </c>
    </row>
    <row r="35" spans="3:5">
      <c r="C35" s="2" t="s">
        <v>211</v>
      </c>
      <c r="D35" s="142">
        <f>('EB2018'!Z$20-'EB2018'!Z$25)/(SUM('EB2018'!$O$20:$Z$20)-SUM('EB2018'!$O$25:$Z$25))</f>
        <v>0</v>
      </c>
      <c r="E35" s="221">
        <f t="shared" si="1"/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B2:T36"/>
  <sheetViews>
    <sheetView workbookViewId="0">
      <selection activeCell="R23" sqref="R23"/>
    </sheetView>
  </sheetViews>
  <sheetFormatPr defaultColWidth="9.21875" defaultRowHeight="14.4"/>
  <cols>
    <col min="1" max="1" width="9.21875" style="23"/>
    <col min="2" max="2" width="13.21875" style="23" customWidth="1"/>
    <col min="3" max="3" width="17.77734375" style="23" customWidth="1"/>
    <col min="4" max="4" width="46.5546875" style="23" bestFit="1" customWidth="1"/>
    <col min="5" max="5" width="8.77734375" style="23" customWidth="1"/>
    <col min="6" max="6" width="10" style="23" bestFit="1" customWidth="1"/>
    <col min="7" max="7" width="9.21875" style="23" customWidth="1"/>
    <col min="8" max="8" width="10.5546875" style="23" bestFit="1" customWidth="1"/>
    <col min="9" max="9" width="10.21875" style="23" customWidth="1"/>
    <col min="10" max="10" width="11" style="23" bestFit="1" customWidth="1"/>
    <col min="11" max="15" width="10.21875" style="23" customWidth="1"/>
    <col min="16" max="16" width="9.77734375" style="23" bestFit="1" customWidth="1"/>
    <col min="17" max="17" width="11.5546875" style="23" bestFit="1" customWidth="1"/>
    <col min="18" max="21" width="10.21875" style="23" customWidth="1"/>
    <col min="22" max="22" width="9.21875" style="23"/>
    <col min="23" max="23" width="12" style="23" bestFit="1" customWidth="1"/>
    <col min="24" max="24" width="26.5546875" style="23" bestFit="1" customWidth="1"/>
    <col min="25" max="16384" width="9.21875" style="23"/>
  </cols>
  <sheetData>
    <row r="2" spans="2:20" ht="18">
      <c r="B2" s="3" t="s">
        <v>57</v>
      </c>
      <c r="C2" s="4"/>
      <c r="D2" s="4"/>
      <c r="G2" s="5" t="s">
        <v>625</v>
      </c>
      <c r="H2" s="2"/>
      <c r="I2" s="2"/>
      <c r="J2" s="2"/>
      <c r="K2" s="2"/>
      <c r="L2" s="2"/>
    </row>
    <row r="3" spans="2:20" ht="27.6">
      <c r="B3" s="11" t="s">
        <v>513</v>
      </c>
      <c r="C3" s="11" t="s">
        <v>2</v>
      </c>
      <c r="D3" s="11" t="s">
        <v>3</v>
      </c>
      <c r="E3" s="6" t="s">
        <v>64</v>
      </c>
      <c r="F3" s="6" t="s">
        <v>38</v>
      </c>
      <c r="G3" s="6" t="s">
        <v>620</v>
      </c>
      <c r="H3" s="6" t="s">
        <v>619</v>
      </c>
      <c r="I3" s="6" t="s">
        <v>624</v>
      </c>
      <c r="J3" s="6" t="s">
        <v>623</v>
      </c>
      <c r="K3" s="12" t="s">
        <v>40</v>
      </c>
      <c r="L3" s="12" t="s">
        <v>41</v>
      </c>
      <c r="M3" s="12" t="s">
        <v>43</v>
      </c>
      <c r="N3" s="12" t="s">
        <v>44</v>
      </c>
      <c r="O3" s="12" t="s">
        <v>45</v>
      </c>
      <c r="P3" s="12" t="s">
        <v>626</v>
      </c>
      <c r="Q3" s="12" t="s">
        <v>627</v>
      </c>
      <c r="R3"/>
    </row>
    <row r="4" spans="2:20" ht="15" thickBot="1">
      <c r="B4" s="13" t="s">
        <v>515</v>
      </c>
      <c r="C4" s="13" t="s">
        <v>46</v>
      </c>
      <c r="D4" s="14" t="s">
        <v>47</v>
      </c>
      <c r="E4" s="14"/>
      <c r="F4" s="14"/>
      <c r="G4" s="14"/>
      <c r="H4" s="14"/>
      <c r="I4" s="14"/>
      <c r="J4" s="14"/>
      <c r="K4" s="15" t="s">
        <v>54</v>
      </c>
      <c r="L4" s="15" t="s">
        <v>54</v>
      </c>
      <c r="M4" s="15" t="s">
        <v>54</v>
      </c>
      <c r="N4" s="15" t="s">
        <v>54</v>
      </c>
      <c r="O4" s="15" t="s">
        <v>54</v>
      </c>
      <c r="P4" s="15"/>
      <c r="Q4" s="15"/>
      <c r="R4"/>
    </row>
    <row r="5" spans="2:20">
      <c r="B5" s="23" t="str">
        <f>Processes!C84</f>
        <v>IE,National</v>
      </c>
      <c r="C5" s="23" t="str">
        <f>Processes!D84</f>
        <v>IMPELC_UK-EWIC</v>
      </c>
      <c r="D5" s="23" t="str">
        <f>Processes!E84</f>
        <v>Import of Electricity - UK East-West Interconnector</v>
      </c>
      <c r="F5" s="23" t="str">
        <f>Commodities!C58</f>
        <v>ELCC</v>
      </c>
      <c r="G5" s="23">
        <v>2013</v>
      </c>
      <c r="H5" s="23">
        <v>0.5</v>
      </c>
      <c r="I5" s="23">
        <v>100</v>
      </c>
      <c r="J5" s="23">
        <f t="shared" ref="J5:J6" si="0">8760*3.6/1000</f>
        <v>31.536000000000001</v>
      </c>
      <c r="K5" s="41">
        <f>G22</f>
        <v>12.775231427006712</v>
      </c>
      <c r="L5" s="41">
        <f>H22</f>
        <v>13.844655136887908</v>
      </c>
      <c r="M5" s="41">
        <f>I22</f>
        <v>20.699646648446279</v>
      </c>
      <c r="N5" s="41">
        <f>J22</f>
        <v>24.100186765447592</v>
      </c>
      <c r="O5" s="41">
        <f>K22</f>
        <v>27.970361406895258</v>
      </c>
      <c r="P5" s="432">
        <v>0</v>
      </c>
      <c r="Q5" s="432">
        <v>2</v>
      </c>
      <c r="R5"/>
    </row>
    <row r="6" spans="2:20">
      <c r="B6" s="23" t="str">
        <f>Processes!C85</f>
        <v>IE,National</v>
      </c>
      <c r="C6" s="23" t="str">
        <f>Processes!D85</f>
        <v>EXPELC_UK-EWIC</v>
      </c>
      <c r="D6" s="23" t="str">
        <f>Processes!E85</f>
        <v>Export of Electricity - UK East-West Interconnector</v>
      </c>
      <c r="E6" s="27" t="str">
        <f>Commodities!C58</f>
        <v>ELCC</v>
      </c>
      <c r="F6" s="27"/>
      <c r="G6" s="27">
        <v>2013</v>
      </c>
      <c r="H6" s="23">
        <v>0.5</v>
      </c>
      <c r="I6" s="23">
        <v>100</v>
      </c>
      <c r="J6" s="23">
        <f t="shared" si="0"/>
        <v>31.536000000000001</v>
      </c>
      <c r="K6" s="28">
        <f>K5*0.7</f>
        <v>8.9426619989046987</v>
      </c>
      <c r="L6" s="28">
        <f>L5*0.7</f>
        <v>9.6912585958215356</v>
      </c>
      <c r="M6" s="28">
        <f>M5*0.7</f>
        <v>14.489752653912394</v>
      </c>
      <c r="N6" s="28">
        <f>N5*0.7</f>
        <v>16.870130735813312</v>
      </c>
      <c r="O6" s="28">
        <f>O5*0.7</f>
        <v>19.579252984826677</v>
      </c>
      <c r="P6" s="433">
        <v>0</v>
      </c>
      <c r="Q6" s="433">
        <v>2</v>
      </c>
      <c r="R6"/>
    </row>
    <row r="7" spans="2:20">
      <c r="B7" s="29" t="s">
        <v>66</v>
      </c>
      <c r="C7" s="29"/>
      <c r="D7" s="29"/>
      <c r="E7" s="29"/>
      <c r="F7" s="29"/>
      <c r="G7" s="488" t="s">
        <v>159</v>
      </c>
      <c r="H7" s="488"/>
      <c r="I7" s="488"/>
      <c r="J7" s="488"/>
      <c r="K7" s="488"/>
      <c r="L7" s="193" t="s">
        <v>67</v>
      </c>
      <c r="M7" s="192"/>
      <c r="N7" s="492" t="s">
        <v>220</v>
      </c>
      <c r="O7" s="492"/>
      <c r="P7"/>
      <c r="Q7"/>
      <c r="R7"/>
    </row>
    <row r="9" spans="2:20">
      <c r="O9" s="26"/>
      <c r="P9" s="26"/>
      <c r="Q9" s="26"/>
    </row>
    <row r="11" spans="2:20">
      <c r="C11"/>
      <c r="D11"/>
      <c r="E11"/>
      <c r="F11"/>
      <c r="G11"/>
      <c r="H11"/>
      <c r="I11"/>
      <c r="J11"/>
      <c r="K11"/>
      <c r="L11"/>
      <c r="M11">
        <f>H5*8760*3.6</f>
        <v>15768</v>
      </c>
      <c r="N11"/>
      <c r="O11"/>
      <c r="P11"/>
      <c r="Q11"/>
      <c r="R11"/>
      <c r="S11"/>
      <c r="T11"/>
    </row>
    <row r="12" spans="2:20">
      <c r="C12"/>
      <c r="E12" t="s">
        <v>129</v>
      </c>
      <c r="F12"/>
      <c r="G12" t="s">
        <v>128</v>
      </c>
      <c r="H12"/>
      <c r="I12"/>
      <c r="J12"/>
      <c r="K12"/>
      <c r="L12"/>
      <c r="M12"/>
      <c r="N12"/>
      <c r="O12"/>
      <c r="P12"/>
      <c r="Q12"/>
      <c r="R12"/>
      <c r="S12"/>
    </row>
    <row r="13" spans="2:20">
      <c r="C13"/>
      <c r="E13" t="s">
        <v>127</v>
      </c>
      <c r="F13"/>
      <c r="G13">
        <v>2015</v>
      </c>
      <c r="H13">
        <v>2020</v>
      </c>
      <c r="I13">
        <v>2030</v>
      </c>
      <c r="J13">
        <v>2040</v>
      </c>
      <c r="K13">
        <v>2050</v>
      </c>
      <c r="L13"/>
      <c r="M13"/>
      <c r="N13"/>
      <c r="O13"/>
      <c r="P13"/>
    </row>
    <row r="14" spans="2:20">
      <c r="C14" t="s">
        <v>126</v>
      </c>
      <c r="E14">
        <v>1800</v>
      </c>
      <c r="F14"/>
      <c r="G14"/>
      <c r="H14"/>
      <c r="I14"/>
      <c r="J14"/>
      <c r="K14"/>
      <c r="L14"/>
      <c r="M14"/>
      <c r="N14"/>
      <c r="O14"/>
      <c r="P14"/>
    </row>
    <row r="15" spans="2:20">
      <c r="C15" t="s">
        <v>125</v>
      </c>
      <c r="E15">
        <v>0.47499999999999998</v>
      </c>
      <c r="F15"/>
      <c r="G15" s="101">
        <f>G19/$E$15</f>
        <v>59.752421052631576</v>
      </c>
      <c r="H15" s="101">
        <f>H19/$E$15</f>
        <v>59.752421052631576</v>
      </c>
      <c r="I15" s="101">
        <v>60</v>
      </c>
      <c r="J15" s="101">
        <v>60</v>
      </c>
      <c r="K15" s="101">
        <f>K19/$E$15</f>
        <v>59.752421052631576</v>
      </c>
      <c r="L15"/>
      <c r="M15" t="s">
        <v>10</v>
      </c>
      <c r="N15" t="s">
        <v>124</v>
      </c>
      <c r="O15"/>
      <c r="P15"/>
    </row>
    <row r="16" spans="2:20">
      <c r="C16"/>
      <c r="E16"/>
      <c r="F16"/>
      <c r="G16"/>
      <c r="H16"/>
      <c r="I16"/>
      <c r="J16"/>
      <c r="K16"/>
      <c r="L16"/>
      <c r="M16"/>
      <c r="N16"/>
      <c r="O16"/>
      <c r="P16"/>
    </row>
    <row r="17" spans="3:20">
      <c r="C17" t="s">
        <v>123</v>
      </c>
      <c r="E17"/>
      <c r="F17"/>
      <c r="G17" s="87">
        <f>Imports_Fossil!I7</f>
        <v>5.672401594494854</v>
      </c>
      <c r="H17" s="87">
        <f>Imports_Fossil!J7</f>
        <v>6.1803778566884233</v>
      </c>
      <c r="I17" s="87">
        <f>Imports_Fossil!K7</f>
        <v>9.3975608505810264</v>
      </c>
      <c r="J17" s="87">
        <f>Imports_Fossil!L7</f>
        <v>11.006152347527328</v>
      </c>
      <c r="K17" s="87">
        <f>Imports_Fossil!M7</f>
        <v>12.890088334941915</v>
      </c>
      <c r="L17"/>
      <c r="M17" s="100" t="str">
        <f>Imports_Fossil!N7</f>
        <v>WEO2019, WEO2020</v>
      </c>
      <c r="N17"/>
      <c r="O17"/>
      <c r="P17"/>
    </row>
    <row r="18" spans="3:20">
      <c r="C18"/>
      <c r="E18"/>
      <c r="F18"/>
      <c r="G18" s="99">
        <f>G17*G15/G19</f>
        <v>11.941898093673379</v>
      </c>
      <c r="H18" s="99">
        <f>H17*H15/H19</f>
        <v>13.011321803554575</v>
      </c>
      <c r="I18" s="99">
        <f t="shared" ref="I18:K18" si="1">I17*I15/I19</f>
        <v>19.866313315112947</v>
      </c>
      <c r="J18" s="99">
        <f t="shared" si="1"/>
        <v>23.26685343211426</v>
      </c>
      <c r="K18" s="99">
        <f t="shared" si="1"/>
        <v>27.137028073561925</v>
      </c>
      <c r="L18"/>
      <c r="M18" t="s">
        <v>130</v>
      </c>
      <c r="N18"/>
      <c r="O18"/>
      <c r="P18"/>
    </row>
    <row r="19" spans="3:20">
      <c r="C19" t="s">
        <v>122</v>
      </c>
      <c r="E19">
        <v>900</v>
      </c>
      <c r="F19"/>
      <c r="G19" s="87">
        <f t="shared" ref="G19:K19" si="2">$E$19*8760*3.6*10^-6</f>
        <v>28.382399999999997</v>
      </c>
      <c r="H19" s="87">
        <f t="shared" si="2"/>
        <v>28.382399999999997</v>
      </c>
      <c r="I19" s="87">
        <f t="shared" si="2"/>
        <v>28.382399999999997</v>
      </c>
      <c r="J19" s="87">
        <f t="shared" si="2"/>
        <v>28.382399999999997</v>
      </c>
      <c r="K19" s="87">
        <f t="shared" si="2"/>
        <v>28.382399999999997</v>
      </c>
      <c r="L19"/>
      <c r="M19" t="s">
        <v>10</v>
      </c>
      <c r="N19" t="s">
        <v>121</v>
      </c>
      <c r="O19"/>
      <c r="P19"/>
    </row>
    <row r="20" spans="3:20">
      <c r="C20" t="s">
        <v>120</v>
      </c>
      <c r="E20">
        <v>3</v>
      </c>
      <c r="F20"/>
      <c r="G20" s="26">
        <f t="shared" ref="G20:K20" si="3">$E$20/3.6</f>
        <v>0.83333333333333326</v>
      </c>
      <c r="H20" s="26">
        <f t="shared" si="3"/>
        <v>0.83333333333333326</v>
      </c>
      <c r="I20" s="26">
        <f t="shared" si="3"/>
        <v>0.83333333333333326</v>
      </c>
      <c r="J20" s="26">
        <f t="shared" si="3"/>
        <v>0.83333333333333326</v>
      </c>
      <c r="K20" s="26">
        <f t="shared" si="3"/>
        <v>0.83333333333333326</v>
      </c>
      <c r="L20"/>
      <c r="M20" t="s">
        <v>119</v>
      </c>
      <c r="N20" t="s">
        <v>118</v>
      </c>
      <c r="O20"/>
      <c r="P20"/>
    </row>
    <row r="21" spans="3:20"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3:20">
      <c r="C22"/>
      <c r="D22"/>
      <c r="E22"/>
      <c r="F22"/>
      <c r="G22" s="98">
        <f t="shared" ref="G22" si="4">G18+G20</f>
        <v>12.775231427006712</v>
      </c>
      <c r="H22" s="98">
        <f t="shared" ref="H22:K22" si="5">H18+H20</f>
        <v>13.844655136887908</v>
      </c>
      <c r="I22" s="98">
        <f t="shared" si="5"/>
        <v>20.699646648446279</v>
      </c>
      <c r="J22" s="98">
        <f t="shared" si="5"/>
        <v>24.100186765447592</v>
      </c>
      <c r="K22" s="98">
        <f t="shared" si="5"/>
        <v>27.970361406895258</v>
      </c>
      <c r="L22"/>
      <c r="M22" s="97" t="s">
        <v>117</v>
      </c>
      <c r="N22" t="s">
        <v>116</v>
      </c>
      <c r="O22"/>
      <c r="P22" t="s">
        <v>115</v>
      </c>
    </row>
    <row r="23" spans="3:20"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3:20">
      <c r="C24"/>
      <c r="D24"/>
      <c r="E24"/>
      <c r="F24"/>
      <c r="G24"/>
      <c r="H24"/>
      <c r="I24"/>
      <c r="J24" s="102"/>
      <c r="K24" s="102"/>
      <c r="L24" s="102"/>
      <c r="M24" s="102"/>
      <c r="N24"/>
      <c r="O24"/>
      <c r="P24"/>
      <c r="Q24"/>
      <c r="R24"/>
    </row>
    <row r="25" spans="3:20"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3:20"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3:20"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3:20"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3:20"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3:20"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3:20"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3:20"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3:20"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3:20"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3:20"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3:20"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</sheetData>
  <mergeCells count="2">
    <mergeCell ref="G7:K7"/>
    <mergeCell ref="N7:O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AC73-3506-47A0-A87E-4DEE2B4424AC}">
  <sheetPr codeName="Sheet11"/>
  <dimension ref="A1:G25"/>
  <sheetViews>
    <sheetView workbookViewId="0">
      <selection activeCell="G23" sqref="G23"/>
    </sheetView>
  </sheetViews>
  <sheetFormatPr defaultColWidth="9.21875" defaultRowHeight="14.4"/>
  <cols>
    <col min="1" max="1" width="9.21875" style="23"/>
    <col min="2" max="2" width="18.77734375" style="23" customWidth="1"/>
    <col min="3" max="5" width="9.21875" style="23"/>
    <col min="6" max="6" width="15.5546875" style="23" bestFit="1" customWidth="1"/>
    <col min="7" max="7" width="11" style="23" bestFit="1" customWidth="1"/>
    <col min="8" max="16384" width="9.21875" style="23"/>
  </cols>
  <sheetData>
    <row r="1" spans="1:7">
      <c r="A1" s="162" t="s">
        <v>266</v>
      </c>
      <c r="B1" s="162"/>
      <c r="C1" s="156"/>
      <c r="D1" s="156"/>
      <c r="E1" s="156"/>
    </row>
    <row r="4" spans="1:7">
      <c r="B4" s="1" t="s">
        <v>267</v>
      </c>
    </row>
    <row r="5" spans="1:7" ht="15" thickBot="1">
      <c r="B5" s="163" t="s">
        <v>16</v>
      </c>
      <c r="C5" s="164" t="str">
        <f>Commodities!C54</f>
        <v>SUPNGA</v>
      </c>
      <c r="D5" s="164" t="str">
        <f>Commodities!C53</f>
        <v>SUPCOA</v>
      </c>
      <c r="E5" s="164" t="str">
        <f>Commodities!C57</f>
        <v>SUPWAS</v>
      </c>
      <c r="F5" s="164" t="s">
        <v>268</v>
      </c>
    </row>
    <row r="6" spans="1:7">
      <c r="B6" s="23" t="str">
        <f>Commodities!C69</f>
        <v>SUPCO2N</v>
      </c>
      <c r="C6" s="25">
        <v>56.1</v>
      </c>
      <c r="D6" s="25">
        <v>96.1</v>
      </c>
      <c r="E6" s="25">
        <v>75.3</v>
      </c>
      <c r="F6" s="25" t="s">
        <v>269</v>
      </c>
    </row>
    <row r="7" spans="1:7">
      <c r="B7" s="23" t="str">
        <f>Commodities!C65</f>
        <v>SUPCH4N</v>
      </c>
      <c r="C7" s="25"/>
      <c r="D7" s="25"/>
      <c r="E7" s="25"/>
    </row>
    <row r="8" spans="1:7">
      <c r="B8" s="23" t="str">
        <f>Commodities!C68</f>
        <v>SUPSO2N</v>
      </c>
      <c r="C8" s="25"/>
      <c r="D8" s="25"/>
      <c r="E8" s="25"/>
    </row>
    <row r="9" spans="1:7">
      <c r="B9" s="23" t="str">
        <f>Commodities!C72</f>
        <v>SUPNOXN</v>
      </c>
      <c r="C9" s="25"/>
      <c r="D9" s="25"/>
      <c r="E9" s="25"/>
    </row>
    <row r="10" spans="1:7">
      <c r="B10" s="23" t="str">
        <f>Commodities!C73</f>
        <v>SUPPM10</v>
      </c>
    </row>
    <row r="11" spans="1:7">
      <c r="B11" s="23" t="str">
        <f>Commodities!C74</f>
        <v>SUPPM25</v>
      </c>
    </row>
    <row r="16" spans="1:7">
      <c r="B16" s="1" t="s">
        <v>651</v>
      </c>
      <c r="C16"/>
      <c r="D16"/>
      <c r="E16"/>
      <c r="F16" s="1" t="s">
        <v>651</v>
      </c>
      <c r="G16"/>
    </row>
    <row r="17" spans="2:7" ht="15" thickBot="1">
      <c r="B17" s="163" t="s">
        <v>16</v>
      </c>
      <c r="C17" s="164" t="s">
        <v>652</v>
      </c>
      <c r="D17"/>
      <c r="E17"/>
      <c r="F17" s="163" t="s">
        <v>16</v>
      </c>
      <c r="G17" s="164" t="s">
        <v>653</v>
      </c>
    </row>
    <row r="18" spans="2:7">
      <c r="B18" s="23" t="s">
        <v>631</v>
      </c>
      <c r="C18" s="23">
        <v>1</v>
      </c>
      <c r="D18"/>
      <c r="E18"/>
      <c r="F18" s="23" t="s">
        <v>654</v>
      </c>
      <c r="G18" s="23">
        <v>1</v>
      </c>
    </row>
    <row r="19" spans="2:7">
      <c r="B19" s="23" t="s">
        <v>632</v>
      </c>
      <c r="C19" s="23">
        <v>1</v>
      </c>
      <c r="D19"/>
      <c r="E19"/>
      <c r="F19" t="s">
        <v>652</v>
      </c>
      <c r="G19" s="23">
        <v>1</v>
      </c>
    </row>
    <row r="20" spans="2:7">
      <c r="B20" s="23" t="s">
        <v>633</v>
      </c>
      <c r="C20" s="23">
        <v>1</v>
      </c>
      <c r="D20"/>
      <c r="E20"/>
    </row>
    <row r="21" spans="2:7">
      <c r="B21" s="23" t="s">
        <v>634</v>
      </c>
      <c r="C21" s="23">
        <v>1</v>
      </c>
      <c r="D21"/>
      <c r="E21"/>
    </row>
    <row r="22" spans="2:7">
      <c r="B22" s="23" t="s">
        <v>635</v>
      </c>
      <c r="C22" s="23">
        <v>1</v>
      </c>
      <c r="D22"/>
      <c r="E22"/>
    </row>
    <row r="23" spans="2:7">
      <c r="B23" s="23" t="s">
        <v>636</v>
      </c>
      <c r="C23" s="23">
        <v>1</v>
      </c>
      <c r="D23"/>
      <c r="E23"/>
    </row>
    <row r="24" spans="2:7">
      <c r="B24" s="23" t="s">
        <v>637</v>
      </c>
      <c r="C24" s="23">
        <v>1</v>
      </c>
      <c r="D24"/>
      <c r="E24"/>
    </row>
    <row r="25" spans="2:7">
      <c r="B25" t="s">
        <v>661</v>
      </c>
      <c r="C25" s="23">
        <v>1</v>
      </c>
      <c r="D25"/>
      <c r="E25"/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rgb="FFFF0000"/>
  </sheetPr>
  <dimension ref="A1:Z57"/>
  <sheetViews>
    <sheetView topLeftCell="A6" zoomScale="90" zoomScaleNormal="90" workbookViewId="0">
      <pane xSplit="1" topLeftCell="B1" activePane="topRight" state="frozen"/>
      <selection activeCell="D3" sqref="D3"/>
      <selection pane="topRight" activeCell="K21" sqref="K21"/>
    </sheetView>
  </sheetViews>
  <sheetFormatPr defaultRowHeight="14.4"/>
  <cols>
    <col min="1" max="1" width="20.21875" customWidth="1"/>
    <col min="2" max="7" width="12" customWidth="1"/>
  </cols>
  <sheetData>
    <row r="1" spans="1:22">
      <c r="A1" s="66" t="s">
        <v>85</v>
      </c>
      <c r="B1" s="23" t="s">
        <v>86</v>
      </c>
      <c r="C1" s="23"/>
      <c r="D1" s="23"/>
      <c r="E1" s="23"/>
      <c r="F1" s="23"/>
      <c r="G1" s="23"/>
      <c r="H1" s="23"/>
      <c r="I1" s="23"/>
      <c r="J1" s="40" t="s">
        <v>87</v>
      </c>
      <c r="P1" s="493" t="s">
        <v>88</v>
      </c>
      <c r="Q1" s="493"/>
    </row>
    <row r="2" spans="1:22">
      <c r="H2" s="23"/>
      <c r="I2" s="23"/>
      <c r="J2" s="31" t="s">
        <v>89</v>
      </c>
      <c r="K2" s="32">
        <v>41.868000000000002</v>
      </c>
      <c r="L2" s="31" t="s">
        <v>90</v>
      </c>
      <c r="P2" s="67" t="s">
        <v>91</v>
      </c>
      <c r="Q2" s="68">
        <v>2010</v>
      </c>
    </row>
    <row r="3" spans="1:22" ht="15" thickBot="1">
      <c r="A3" s="69" t="s">
        <v>92</v>
      </c>
      <c r="B3" s="81"/>
      <c r="H3" s="23"/>
      <c r="I3" s="23"/>
      <c r="J3" s="31" t="s">
        <v>93</v>
      </c>
      <c r="K3" s="70">
        <v>4.1868000000000002E-2</v>
      </c>
      <c r="L3" s="31" t="s">
        <v>10</v>
      </c>
      <c r="P3" s="71">
        <v>36861</v>
      </c>
      <c r="Q3" s="72">
        <v>127.61664564943254</v>
      </c>
    </row>
    <row r="4" spans="1:22">
      <c r="A4" s="73" t="s">
        <v>94</v>
      </c>
      <c r="H4" s="23"/>
      <c r="I4" s="23"/>
      <c r="K4" s="74"/>
      <c r="P4" s="23" t="s">
        <v>95</v>
      </c>
      <c r="Q4" s="23"/>
    </row>
    <row r="5" spans="1:22" ht="15" thickBot="1">
      <c r="A5" s="75" t="s">
        <v>96</v>
      </c>
      <c r="H5" s="23"/>
      <c r="I5" s="76" t="s">
        <v>97</v>
      </c>
      <c r="J5" s="23"/>
    </row>
    <row r="6" spans="1:22" ht="15" thickBot="1">
      <c r="A6" s="77"/>
      <c r="B6" s="78" t="s">
        <v>18</v>
      </c>
      <c r="C6" s="78">
        <v>2010</v>
      </c>
      <c r="D6" s="78">
        <v>2015</v>
      </c>
      <c r="E6" s="78">
        <v>2020</v>
      </c>
      <c r="F6" s="78">
        <v>2025</v>
      </c>
      <c r="G6" s="78">
        <v>2030</v>
      </c>
      <c r="H6" s="23"/>
      <c r="I6" s="79" t="s">
        <v>18</v>
      </c>
      <c r="J6" s="79">
        <v>2010</v>
      </c>
      <c r="K6" s="79">
        <v>2015</v>
      </c>
      <c r="L6" s="79">
        <v>2020</v>
      </c>
      <c r="M6" s="79">
        <v>2025</v>
      </c>
      <c r="N6" s="79">
        <v>2030</v>
      </c>
      <c r="P6" s="75" t="s">
        <v>96</v>
      </c>
    </row>
    <row r="7" spans="1:22" ht="15" thickBot="1">
      <c r="A7" s="80" t="s">
        <v>98</v>
      </c>
      <c r="B7" s="81" t="s">
        <v>99</v>
      </c>
      <c r="C7" s="82">
        <v>9358</v>
      </c>
      <c r="D7" s="81">
        <v>0</v>
      </c>
      <c r="E7" s="82">
        <v>24163</v>
      </c>
      <c r="F7" s="82">
        <v>139233</v>
      </c>
      <c r="G7" s="82">
        <v>470124</v>
      </c>
      <c r="H7" s="23"/>
      <c r="I7" s="57" t="s">
        <v>10</v>
      </c>
      <c r="J7" s="41">
        <f>C7*$K$3/1000</f>
        <v>0.39180074400000003</v>
      </c>
      <c r="K7" s="41">
        <f t="shared" ref="K7:N7" si="0">D7*$K$3/1000</f>
        <v>0</v>
      </c>
      <c r="L7" s="41">
        <f t="shared" si="0"/>
        <v>1.0116564840000002</v>
      </c>
      <c r="M7" s="41">
        <f t="shared" si="0"/>
        <v>5.8294072440000004</v>
      </c>
      <c r="N7" s="41">
        <f t="shared" si="0"/>
        <v>19.683151632000001</v>
      </c>
      <c r="P7" s="83" t="s">
        <v>100</v>
      </c>
      <c r="Q7" s="84"/>
      <c r="R7" s="84"/>
      <c r="S7" s="84"/>
    </row>
    <row r="8" spans="1:22" ht="15" thickBot="1">
      <c r="A8" s="80" t="s">
        <v>98</v>
      </c>
      <c r="B8" s="81" t="s">
        <v>101</v>
      </c>
      <c r="C8" s="81">
        <v>288</v>
      </c>
      <c r="D8" s="81">
        <v>162</v>
      </c>
      <c r="E8" s="81">
        <v>126</v>
      </c>
      <c r="F8" s="81">
        <v>106</v>
      </c>
      <c r="G8" s="81">
        <v>98</v>
      </c>
      <c r="H8" s="23"/>
      <c r="I8" s="57" t="s">
        <v>49</v>
      </c>
      <c r="J8" s="41">
        <f>C8/$K$2</f>
        <v>6.8787618228718825</v>
      </c>
      <c r="K8" s="41">
        <f t="shared" ref="K8:N8" si="1">D8/$K$2</f>
        <v>3.8693035253654342</v>
      </c>
      <c r="L8" s="41">
        <f t="shared" si="1"/>
        <v>3.0094582975064488</v>
      </c>
      <c r="M8" s="41">
        <f t="shared" si="1"/>
        <v>2.5317665042514568</v>
      </c>
      <c r="N8" s="41">
        <f t="shared" si="1"/>
        <v>2.3406897869494601</v>
      </c>
      <c r="P8" s="83" t="s">
        <v>102</v>
      </c>
      <c r="Q8" s="84"/>
      <c r="R8" s="84"/>
      <c r="S8" s="84"/>
    </row>
    <row r="9" spans="1:22" ht="15" thickBot="1">
      <c r="A9" s="80" t="s">
        <v>103</v>
      </c>
      <c r="B9" s="81" t="s">
        <v>99</v>
      </c>
      <c r="C9" s="82">
        <v>28075</v>
      </c>
      <c r="D9" s="81">
        <v>0</v>
      </c>
      <c r="E9" s="82">
        <v>72490</v>
      </c>
      <c r="F9" s="82">
        <v>417699</v>
      </c>
      <c r="G9" s="82">
        <v>1410371</v>
      </c>
      <c r="H9" s="23"/>
      <c r="I9" s="57" t="s">
        <v>10</v>
      </c>
      <c r="J9" s="41">
        <f>C9*$K$3/1000</f>
        <v>1.1754441000000002</v>
      </c>
      <c r="K9" s="41">
        <f t="shared" ref="K9:N9" si="2">D9*$K$3/1000</f>
        <v>0</v>
      </c>
      <c r="L9" s="41">
        <f t="shared" si="2"/>
        <v>3.0350113200000002</v>
      </c>
      <c r="M9" s="41">
        <f t="shared" si="2"/>
        <v>17.488221732000003</v>
      </c>
      <c r="N9" s="41">
        <f t="shared" si="2"/>
        <v>59.049413028000004</v>
      </c>
      <c r="P9" s="83" t="s">
        <v>104</v>
      </c>
      <c r="Q9" s="84"/>
      <c r="R9" s="84"/>
      <c r="S9" s="84"/>
    </row>
    <row r="10" spans="1:22" ht="15" thickBot="1">
      <c r="A10" s="80" t="s">
        <v>103</v>
      </c>
      <c r="B10" s="81" t="s">
        <v>101</v>
      </c>
      <c r="C10" s="81">
        <v>590</v>
      </c>
      <c r="D10" s="81">
        <v>385</v>
      </c>
      <c r="E10" s="81">
        <v>300</v>
      </c>
      <c r="F10" s="81">
        <v>251</v>
      </c>
      <c r="G10" s="81">
        <v>232</v>
      </c>
      <c r="H10" s="23"/>
      <c r="I10" s="57" t="s">
        <v>49</v>
      </c>
      <c r="J10" s="41">
        <f>C10/$K$2</f>
        <v>14.09190790102226</v>
      </c>
      <c r="K10" s="41">
        <f t="shared" ref="K10:N10" si="3">D10/$K$2</f>
        <v>9.1955670201585935</v>
      </c>
      <c r="L10" s="41">
        <f t="shared" si="3"/>
        <v>7.1653768988248778</v>
      </c>
      <c r="M10" s="41">
        <f t="shared" si="3"/>
        <v>5.995032005350148</v>
      </c>
      <c r="N10" s="41">
        <f t="shared" si="3"/>
        <v>5.5412248017579051</v>
      </c>
      <c r="P10" s="83" t="s">
        <v>105</v>
      </c>
      <c r="Q10" s="84"/>
      <c r="R10" s="84"/>
      <c r="S10" s="84"/>
    </row>
    <row r="11" spans="1:22" ht="15" thickBot="1">
      <c r="A11" s="80" t="s">
        <v>83</v>
      </c>
      <c r="B11" s="81" t="s">
        <v>99</v>
      </c>
      <c r="C11" s="82">
        <v>535616</v>
      </c>
      <c r="D11" s="82">
        <v>310101</v>
      </c>
      <c r="E11" s="82">
        <v>6531</v>
      </c>
      <c r="F11" s="82">
        <v>43493</v>
      </c>
      <c r="G11" s="82">
        <v>130927</v>
      </c>
      <c r="H11" s="23"/>
      <c r="I11" s="57" t="s">
        <v>10</v>
      </c>
      <c r="J11" s="41">
        <f>C11*$K$3/1000</f>
        <v>22.425170688000001</v>
      </c>
      <c r="K11" s="41">
        <f t="shared" ref="K11:N11" si="4">D11*$K$3/1000</f>
        <v>12.983308668000001</v>
      </c>
      <c r="L11" s="41">
        <f t="shared" si="4"/>
        <v>0.27343990800000001</v>
      </c>
      <c r="M11" s="41">
        <f t="shared" si="4"/>
        <v>1.8209649240000001</v>
      </c>
      <c r="N11" s="41">
        <f t="shared" si="4"/>
        <v>5.4816516360000005</v>
      </c>
    </row>
    <row r="12" spans="1:22" ht="15" thickBot="1">
      <c r="A12" s="80" t="s">
        <v>83</v>
      </c>
      <c r="B12" s="81" t="s">
        <v>101</v>
      </c>
      <c r="C12" s="81">
        <v>779</v>
      </c>
      <c r="D12" s="81">
        <v>740</v>
      </c>
      <c r="E12" s="81">
        <v>693</v>
      </c>
      <c r="F12" s="81">
        <v>630</v>
      </c>
      <c r="G12" s="81">
        <v>577</v>
      </c>
      <c r="H12" s="23"/>
      <c r="I12" s="57" t="s">
        <v>49</v>
      </c>
      <c r="J12" s="41">
        <f>C12/$K$2</f>
        <v>18.606095347281933</v>
      </c>
      <c r="K12" s="41">
        <f t="shared" ref="K12:N12" si="5">D12/$K$2</f>
        <v>17.674596350434697</v>
      </c>
      <c r="L12" s="41">
        <f t="shared" si="5"/>
        <v>16.552020636285469</v>
      </c>
      <c r="M12" s="41">
        <f t="shared" si="5"/>
        <v>15.047291487532243</v>
      </c>
      <c r="N12" s="41">
        <f t="shared" si="5"/>
        <v>13.781408235406515</v>
      </c>
    </row>
    <row r="13" spans="1:22" ht="15" thickBot="1">
      <c r="A13" s="80" t="s">
        <v>84</v>
      </c>
      <c r="B13" s="81" t="s">
        <v>99</v>
      </c>
      <c r="C13" s="82">
        <v>106129</v>
      </c>
      <c r="D13" s="81">
        <v>75725</v>
      </c>
      <c r="E13" s="81">
        <v>0</v>
      </c>
      <c r="F13" s="81">
        <v>0</v>
      </c>
      <c r="G13" s="81">
        <v>0</v>
      </c>
      <c r="H13" s="23"/>
      <c r="I13" s="57" t="s">
        <v>10</v>
      </c>
      <c r="J13" s="41">
        <f>C13*$K$3/1000</f>
        <v>4.4434089720000003</v>
      </c>
      <c r="K13" s="41">
        <f>D13*$K$3/1000</f>
        <v>3.1704543000000003</v>
      </c>
      <c r="L13" s="41">
        <f t="shared" ref="L13:N13" si="6">E13*$K$3/1000</f>
        <v>0</v>
      </c>
      <c r="M13" s="41">
        <f t="shared" si="6"/>
        <v>0</v>
      </c>
      <c r="N13" s="41">
        <f t="shared" si="6"/>
        <v>0</v>
      </c>
    </row>
    <row r="14" spans="1:22" ht="15" thickBot="1">
      <c r="A14" s="80" t="s">
        <v>84</v>
      </c>
      <c r="B14" s="81" t="s">
        <v>101</v>
      </c>
      <c r="C14" s="82">
        <v>1209</v>
      </c>
      <c r="D14" s="82">
        <v>1276</v>
      </c>
      <c r="E14" s="82">
        <v>1312</v>
      </c>
      <c r="F14" s="82">
        <v>1218</v>
      </c>
      <c r="G14" s="82">
        <v>1156</v>
      </c>
      <c r="H14" s="23"/>
      <c r="I14" s="57" t="s">
        <v>49</v>
      </c>
      <c r="J14" s="41">
        <f>C14/$K$2</f>
        <v>28.876468902264257</v>
      </c>
      <c r="K14" s="41">
        <f t="shared" ref="K14:N14" si="7">D14/$K$2</f>
        <v>30.476736409668479</v>
      </c>
      <c r="L14" s="41">
        <f t="shared" si="7"/>
        <v>31.336581637527466</v>
      </c>
      <c r="M14" s="41">
        <f t="shared" si="7"/>
        <v>29.091430209229003</v>
      </c>
      <c r="N14" s="41">
        <f t="shared" si="7"/>
        <v>27.610585650138528</v>
      </c>
    </row>
    <row r="15" spans="1:22">
      <c r="A15" s="85"/>
      <c r="H15" s="23"/>
      <c r="I15" s="23"/>
      <c r="J15" s="23"/>
    </row>
    <row r="16" spans="1:22" ht="15" thickBot="1">
      <c r="A16" s="75" t="s">
        <v>100</v>
      </c>
      <c r="H16" s="23"/>
      <c r="I16" s="76" t="s">
        <v>97</v>
      </c>
      <c r="J16" s="23"/>
      <c r="P16" t="s">
        <v>106</v>
      </c>
      <c r="V16" s="76" t="s">
        <v>107</v>
      </c>
    </row>
    <row r="17" spans="1:26" ht="15" thickBot="1">
      <c r="A17" s="77"/>
      <c r="B17" s="78" t="s">
        <v>18</v>
      </c>
      <c r="C17" s="78">
        <v>2010</v>
      </c>
      <c r="D17" s="78">
        <v>2015</v>
      </c>
      <c r="E17" s="78">
        <v>2020</v>
      </c>
      <c r="F17" s="78">
        <v>2025</v>
      </c>
      <c r="G17" s="78">
        <v>2030</v>
      </c>
      <c r="H17" s="23"/>
      <c r="I17" s="79" t="s">
        <v>18</v>
      </c>
      <c r="J17" s="79">
        <v>2010</v>
      </c>
      <c r="K17" s="79">
        <v>2015</v>
      </c>
      <c r="L17" s="79">
        <v>2020</v>
      </c>
      <c r="M17" s="79">
        <v>2025</v>
      </c>
      <c r="N17" s="79">
        <v>2030</v>
      </c>
      <c r="P17" s="86">
        <v>2010</v>
      </c>
      <c r="Q17" s="86">
        <v>2015</v>
      </c>
      <c r="R17" s="86">
        <v>2020</v>
      </c>
      <c r="S17" s="86">
        <v>2025</v>
      </c>
      <c r="T17" s="86">
        <v>2030</v>
      </c>
      <c r="V17" s="86">
        <v>2010</v>
      </c>
      <c r="W17" s="86">
        <v>2015</v>
      </c>
      <c r="X17" s="86">
        <v>2020</v>
      </c>
      <c r="Y17" s="86">
        <v>2025</v>
      </c>
      <c r="Z17" s="86">
        <v>2030</v>
      </c>
    </row>
    <row r="18" spans="1:26" ht="15" thickBot="1">
      <c r="A18" s="80" t="s">
        <v>98</v>
      </c>
      <c r="B18" s="81" t="s">
        <v>99</v>
      </c>
      <c r="C18" s="82">
        <v>7640</v>
      </c>
      <c r="D18" s="82">
        <v>7551</v>
      </c>
      <c r="E18" s="82">
        <v>141276</v>
      </c>
      <c r="F18" s="82">
        <v>452161</v>
      </c>
      <c r="G18" s="82">
        <v>1150679</v>
      </c>
      <c r="H18" s="23"/>
      <c r="I18" s="57" t="s">
        <v>10</v>
      </c>
      <c r="J18" s="41">
        <f>C18*$K$3/1000</f>
        <v>0.31987152000000002</v>
      </c>
      <c r="K18" s="41">
        <f t="shared" ref="K18:M18" si="8">D18*$K$3/1000</f>
        <v>0.31614526800000003</v>
      </c>
      <c r="L18" s="41">
        <f t="shared" si="8"/>
        <v>5.9149435680000009</v>
      </c>
      <c r="M18" s="41">
        <f t="shared" si="8"/>
        <v>18.931076747999999</v>
      </c>
      <c r="N18" s="41">
        <f>G18*$K$3/1000</f>
        <v>48.176628371999996</v>
      </c>
      <c r="O18" s="23"/>
      <c r="P18" s="87"/>
    </row>
    <row r="19" spans="1:26" ht="15" thickBot="1">
      <c r="A19" s="80" t="s">
        <v>98</v>
      </c>
      <c r="B19" s="81" t="s">
        <v>101</v>
      </c>
      <c r="C19" s="81">
        <v>288</v>
      </c>
      <c r="D19" s="81">
        <v>218</v>
      </c>
      <c r="E19" s="81">
        <v>174</v>
      </c>
      <c r="F19" s="81">
        <v>149</v>
      </c>
      <c r="G19" s="81">
        <v>142</v>
      </c>
      <c r="H19" s="23"/>
      <c r="I19" s="57" t="s">
        <v>49</v>
      </c>
      <c r="J19" s="41">
        <f>C19/$K$2</f>
        <v>6.8787618228718825</v>
      </c>
      <c r="K19" s="41">
        <f t="shared" ref="K19:N19" si="9">D19/$K$2</f>
        <v>5.2068405464794116</v>
      </c>
      <c r="L19" s="41">
        <f>E19/$K$2</f>
        <v>4.1559186013184295</v>
      </c>
      <c r="M19" s="41">
        <f t="shared" si="9"/>
        <v>3.5588038597496894</v>
      </c>
      <c r="N19" s="41">
        <f t="shared" si="9"/>
        <v>3.3916117321104422</v>
      </c>
      <c r="P19" s="88">
        <f>J19/$J19</f>
        <v>1</v>
      </c>
      <c r="Q19" s="88">
        <f>K19/$J19</f>
        <v>0.75694444444444453</v>
      </c>
      <c r="R19" s="88">
        <f t="shared" ref="R19:T19" si="10">L19/$J19</f>
        <v>0.60416666666666674</v>
      </c>
      <c r="S19" s="88">
        <f t="shared" si="10"/>
        <v>0.51736111111111116</v>
      </c>
      <c r="T19" s="88">
        <f t="shared" si="10"/>
        <v>0.49305555555555558</v>
      </c>
      <c r="V19" s="89">
        <f>J19*100/$Q$3</f>
        <v>5.3901760133768803</v>
      </c>
      <c r="W19" s="89">
        <f t="shared" ref="W19:Z19" si="11">K19*100/$Q$3</f>
        <v>4.0800637879033328</v>
      </c>
      <c r="X19" s="89">
        <f t="shared" si="11"/>
        <v>3.2565646747485322</v>
      </c>
      <c r="Y19" s="89">
        <f t="shared" si="11"/>
        <v>2.788667451365122</v>
      </c>
      <c r="Z19" s="89">
        <f t="shared" si="11"/>
        <v>2.6576562288177672</v>
      </c>
    </row>
    <row r="20" spans="1:26" ht="15" thickBot="1">
      <c r="A20" s="80" t="s">
        <v>103</v>
      </c>
      <c r="B20" s="81" t="s">
        <v>99</v>
      </c>
      <c r="C20" s="82">
        <v>22921</v>
      </c>
      <c r="D20" s="82">
        <v>22653</v>
      </c>
      <c r="E20" s="82">
        <v>423827</v>
      </c>
      <c r="F20" s="82">
        <v>1356482</v>
      </c>
      <c r="G20" s="82">
        <v>3452038</v>
      </c>
      <c r="H20" s="23"/>
      <c r="I20" s="57" t="s">
        <v>10</v>
      </c>
      <c r="J20" s="41">
        <f>C20*$K$3/1000</f>
        <v>0.95965642799999995</v>
      </c>
      <c r="K20" s="41">
        <f t="shared" ref="K20:N20" si="12">D20*$K$3/1000</f>
        <v>0.94843580400000005</v>
      </c>
      <c r="L20" s="41">
        <f t="shared" si="12"/>
        <v>17.744788836000001</v>
      </c>
      <c r="M20" s="41">
        <f t="shared" si="12"/>
        <v>56.793188376000003</v>
      </c>
      <c r="N20" s="41">
        <f t="shared" si="12"/>
        <v>144.52992698400001</v>
      </c>
    </row>
    <row r="21" spans="1:26" ht="15" thickBot="1">
      <c r="A21" s="80" t="s">
        <v>103</v>
      </c>
      <c r="B21" s="81" t="s">
        <v>101</v>
      </c>
      <c r="C21" s="81">
        <v>590</v>
      </c>
      <c r="D21" s="81">
        <v>446</v>
      </c>
      <c r="E21" s="81">
        <v>356</v>
      </c>
      <c r="F21" s="81">
        <v>305</v>
      </c>
      <c r="G21" s="81">
        <v>291</v>
      </c>
      <c r="H21" s="23"/>
      <c r="I21" s="57" t="s">
        <v>49</v>
      </c>
      <c r="J21" s="41">
        <f>C21/$K$2</f>
        <v>14.09190790102226</v>
      </c>
      <c r="K21" s="41">
        <f t="shared" ref="K21:N21" si="13">D21/$K$2</f>
        <v>10.652526989586319</v>
      </c>
      <c r="L21" s="41">
        <f t="shared" si="13"/>
        <v>8.5029139199388553</v>
      </c>
      <c r="M21" s="41">
        <f t="shared" si="13"/>
        <v>7.2847998471386255</v>
      </c>
      <c r="N21" s="41">
        <f t="shared" si="13"/>
        <v>6.9504155918601311</v>
      </c>
      <c r="P21" s="88">
        <f>J21/$J21</f>
        <v>1</v>
      </c>
      <c r="Q21" s="88">
        <f t="shared" ref="Q21:T21" si="14">K21/$J21</f>
        <v>0.75593220338983047</v>
      </c>
      <c r="R21" s="88">
        <f t="shared" si="14"/>
        <v>0.60338983050847461</v>
      </c>
      <c r="S21" s="88">
        <f t="shared" si="14"/>
        <v>0.51694915254237284</v>
      </c>
      <c r="T21" s="88">
        <f t="shared" si="14"/>
        <v>0.49322033898305079</v>
      </c>
      <c r="V21" s="89">
        <f>J21*100/$Q$3</f>
        <v>11.04237447184847</v>
      </c>
      <c r="W21" s="89">
        <f t="shared" ref="W21:Z21" si="15">K21*100/$Q$3</f>
        <v>8.3472864651600283</v>
      </c>
      <c r="X21" s="89">
        <f t="shared" si="15"/>
        <v>6.6628564609797554</v>
      </c>
      <c r="Y21" s="89">
        <f t="shared" si="15"/>
        <v>5.7083461252775987</v>
      </c>
      <c r="Z21" s="89">
        <f t="shared" si="15"/>
        <v>5.4463236801828891</v>
      </c>
    </row>
    <row r="22" spans="1:26" ht="15" thickBot="1">
      <c r="A22" s="80" t="s">
        <v>83</v>
      </c>
      <c r="B22" s="81" t="s">
        <v>99</v>
      </c>
      <c r="C22" s="82">
        <v>781304</v>
      </c>
      <c r="D22" s="82">
        <v>791507</v>
      </c>
      <c r="E22" s="82">
        <v>441100</v>
      </c>
      <c r="F22" s="82">
        <v>807242</v>
      </c>
      <c r="G22" s="82">
        <v>1351788</v>
      </c>
      <c r="H22" s="23"/>
      <c r="I22" s="57" t="s">
        <v>10</v>
      </c>
      <c r="J22" s="41">
        <f>C22*$K$3/1000</f>
        <v>32.711635872000002</v>
      </c>
      <c r="K22" s="41">
        <f t="shared" ref="K22:N22" si="16">D22*$K$3/1000</f>
        <v>33.138815076</v>
      </c>
      <c r="L22" s="41">
        <f t="shared" si="16"/>
        <v>18.4679748</v>
      </c>
      <c r="M22" s="41">
        <f t="shared" si="16"/>
        <v>33.797608056000001</v>
      </c>
      <c r="N22" s="41">
        <f t="shared" si="16"/>
        <v>56.596659984000006</v>
      </c>
      <c r="P22" s="87"/>
    </row>
    <row r="23" spans="1:26" ht="15" thickBot="1">
      <c r="A23" s="80" t="s">
        <v>83</v>
      </c>
      <c r="B23" s="81" t="s">
        <v>101</v>
      </c>
      <c r="C23" s="81">
        <v>779</v>
      </c>
      <c r="D23" s="81">
        <v>761</v>
      </c>
      <c r="E23" s="81">
        <v>736</v>
      </c>
      <c r="F23" s="81">
        <v>695</v>
      </c>
      <c r="G23" s="81">
        <v>665</v>
      </c>
      <c r="H23" s="23"/>
      <c r="I23" s="57" t="s">
        <v>49</v>
      </c>
      <c r="J23" s="41">
        <f>C23/$K$2</f>
        <v>18.606095347281933</v>
      </c>
      <c r="K23" s="41">
        <f t="shared" ref="K23:N23" si="17">D23/$K$2</f>
        <v>18.176172733352441</v>
      </c>
      <c r="L23" s="41">
        <f t="shared" si="17"/>
        <v>17.579057991783699</v>
      </c>
      <c r="M23" s="41">
        <f t="shared" si="17"/>
        <v>16.599789815610968</v>
      </c>
      <c r="N23" s="41">
        <f t="shared" si="17"/>
        <v>15.883252125728479</v>
      </c>
      <c r="P23" s="88">
        <f>J23/$J23</f>
        <v>1</v>
      </c>
      <c r="Q23" s="88">
        <f t="shared" ref="Q23:T23" si="18">K23/$J23</f>
        <v>0.97689345314505782</v>
      </c>
      <c r="R23" s="88">
        <f t="shared" si="18"/>
        <v>0.9448010269576379</v>
      </c>
      <c r="S23" s="88">
        <f t="shared" si="18"/>
        <v>0.89216944801026965</v>
      </c>
      <c r="T23" s="88">
        <f t="shared" si="18"/>
        <v>0.85365853658536583</v>
      </c>
      <c r="V23" s="89">
        <f>J23*100/$Q$3</f>
        <v>14.579677480627048</v>
      </c>
      <c r="W23" s="89">
        <f t="shared" ref="W23:Z23" si="19">K23*100/$Q$3</f>
        <v>14.242791479790993</v>
      </c>
      <c r="X23" s="89">
        <f t="shared" si="19"/>
        <v>13.774894256407583</v>
      </c>
      <c r="Y23" s="89">
        <f t="shared" si="19"/>
        <v>13.007542810058791</v>
      </c>
      <c r="Z23" s="89">
        <f t="shared" si="19"/>
        <v>12.446066141998699</v>
      </c>
    </row>
    <row r="24" spans="1:26" ht="15" thickBot="1">
      <c r="A24" s="80" t="s">
        <v>84</v>
      </c>
      <c r="B24" s="81" t="s">
        <v>99</v>
      </c>
      <c r="C24" s="82">
        <v>101544</v>
      </c>
      <c r="D24" s="82">
        <v>112421</v>
      </c>
      <c r="E24" s="81">
        <v>0</v>
      </c>
      <c r="F24" s="81">
        <v>0</v>
      </c>
      <c r="G24" s="82">
        <v>92339</v>
      </c>
      <c r="H24" s="23"/>
      <c r="I24" s="57" t="s">
        <v>10</v>
      </c>
      <c r="J24" s="41">
        <f>C24*$K$3/1000</f>
        <v>4.2514441920000001</v>
      </c>
      <c r="K24" s="41">
        <f t="shared" ref="K24:N24" si="20">D24*$K$3/1000</f>
        <v>4.7068424279999999</v>
      </c>
      <c r="L24" s="41">
        <f t="shared" si="20"/>
        <v>0</v>
      </c>
      <c r="M24" s="41">
        <f t="shared" si="20"/>
        <v>0</v>
      </c>
      <c r="N24" s="41">
        <f t="shared" si="20"/>
        <v>3.8660492520000003</v>
      </c>
    </row>
    <row r="25" spans="1:26" ht="15" thickBot="1">
      <c r="A25" s="80" t="s">
        <v>84</v>
      </c>
      <c r="B25" s="81" t="s">
        <v>101</v>
      </c>
      <c r="C25" s="82">
        <v>1209</v>
      </c>
      <c r="D25" s="82">
        <v>1313</v>
      </c>
      <c r="E25" s="82">
        <v>1389</v>
      </c>
      <c r="F25" s="82">
        <v>1334</v>
      </c>
      <c r="G25" s="82">
        <v>1312</v>
      </c>
      <c r="H25" s="23"/>
      <c r="I25" s="57" t="s">
        <v>49</v>
      </c>
      <c r="J25" s="41">
        <f>C25/$K$2</f>
        <v>28.876468902264257</v>
      </c>
      <c r="K25" s="41">
        <f t="shared" ref="K25:N25" si="21">D25/$K$2</f>
        <v>31.360466227190216</v>
      </c>
      <c r="L25" s="41">
        <f t="shared" si="21"/>
        <v>33.175695041559187</v>
      </c>
      <c r="M25" s="41">
        <f t="shared" si="21"/>
        <v>31.862042610107956</v>
      </c>
      <c r="N25" s="41">
        <f t="shared" si="21"/>
        <v>31.336581637527466</v>
      </c>
      <c r="P25" s="88">
        <f>J25/$J25</f>
        <v>1</v>
      </c>
      <c r="Q25" s="88">
        <f t="shared" ref="Q25:T25" si="22">K25/$J25</f>
        <v>1.086021505376344</v>
      </c>
      <c r="R25" s="88">
        <f t="shared" si="22"/>
        <v>1.1488833746898264</v>
      </c>
      <c r="S25" s="88">
        <f t="shared" si="22"/>
        <v>1.1033912324234905</v>
      </c>
      <c r="T25" s="88">
        <f t="shared" si="22"/>
        <v>1.0851943755169562</v>
      </c>
      <c r="V25" s="89">
        <f>J25*100/$Q$3</f>
        <v>22.627509722821692</v>
      </c>
      <c r="W25" s="89">
        <f t="shared" ref="W25:Z25" si="23">K25*100/$Q$3</f>
        <v>24.573962172096682</v>
      </c>
      <c r="X25" s="89">
        <f t="shared" si="23"/>
        <v>25.996369731182249</v>
      </c>
      <c r="Y25" s="89">
        <f t="shared" si="23"/>
        <v>24.966995839738743</v>
      </c>
      <c r="Z25" s="89">
        <f t="shared" si="23"/>
        <v>24.555246283161342</v>
      </c>
    </row>
    <row r="26" spans="1:26" ht="15" thickBot="1">
      <c r="A26" s="75" t="s">
        <v>102</v>
      </c>
      <c r="H26" s="23"/>
      <c r="I26" s="76" t="s">
        <v>97</v>
      </c>
      <c r="J26" s="25"/>
      <c r="K26" s="57"/>
      <c r="L26" s="57"/>
      <c r="M26" s="57"/>
      <c r="N26" s="57"/>
      <c r="P26" t="s">
        <v>106</v>
      </c>
    </row>
    <row r="27" spans="1:26" ht="15" thickBot="1">
      <c r="A27" s="90"/>
      <c r="B27" s="78" t="s">
        <v>18</v>
      </c>
      <c r="C27" s="78">
        <v>2010</v>
      </c>
      <c r="D27" s="78">
        <v>2015</v>
      </c>
      <c r="E27" s="78">
        <v>2020</v>
      </c>
      <c r="F27" s="78">
        <v>2025</v>
      </c>
      <c r="G27" s="78">
        <v>2030</v>
      </c>
      <c r="H27" s="23"/>
      <c r="I27" s="79" t="s">
        <v>18</v>
      </c>
      <c r="J27" s="79">
        <v>2010</v>
      </c>
      <c r="K27" s="79">
        <v>2015</v>
      </c>
      <c r="L27" s="79">
        <v>2020</v>
      </c>
      <c r="M27" s="79">
        <v>2025</v>
      </c>
      <c r="N27" s="79">
        <v>2030</v>
      </c>
      <c r="P27" s="86">
        <v>2010</v>
      </c>
      <c r="Q27" s="86">
        <v>2015</v>
      </c>
      <c r="R27" s="86">
        <v>2020</v>
      </c>
      <c r="S27" s="86">
        <v>2025</v>
      </c>
      <c r="T27" s="86">
        <v>2030</v>
      </c>
      <c r="V27" s="86">
        <v>2010</v>
      </c>
      <c r="W27" s="86">
        <v>2015</v>
      </c>
      <c r="X27" s="86">
        <v>2020</v>
      </c>
      <c r="Y27" s="86">
        <v>2025</v>
      </c>
      <c r="Z27" s="86">
        <v>2030</v>
      </c>
    </row>
    <row r="28" spans="1:26" ht="15" thickBot="1">
      <c r="A28" s="80" t="s">
        <v>98</v>
      </c>
      <c r="B28" s="81" t="s">
        <v>99</v>
      </c>
      <c r="C28" s="82">
        <v>6382</v>
      </c>
      <c r="D28" s="82">
        <v>29323</v>
      </c>
      <c r="E28" s="82">
        <v>214410</v>
      </c>
      <c r="F28" s="82">
        <v>666226</v>
      </c>
      <c r="G28" s="82">
        <v>1885232</v>
      </c>
      <c r="H28" s="23"/>
      <c r="I28" s="57" t="s">
        <v>10</v>
      </c>
      <c r="J28" s="41">
        <f>C28*$K$3/1000</f>
        <v>0.267201576</v>
      </c>
      <c r="K28" s="41">
        <f t="shared" ref="K28:N28" si="24">D28*$K$3/1000</f>
        <v>1.2276953640000001</v>
      </c>
      <c r="L28" s="41">
        <f t="shared" si="24"/>
        <v>8.9769178800000002</v>
      </c>
      <c r="M28" s="41">
        <f t="shared" si="24"/>
        <v>27.893550168000001</v>
      </c>
      <c r="N28" s="41">
        <f t="shared" si="24"/>
        <v>78.930893376</v>
      </c>
      <c r="P28" s="87"/>
    </row>
    <row r="29" spans="1:26" ht="15" thickBot="1">
      <c r="A29" s="80" t="s">
        <v>98</v>
      </c>
      <c r="B29" s="81" t="s">
        <v>101</v>
      </c>
      <c r="C29" s="81">
        <v>288</v>
      </c>
      <c r="D29" s="81">
        <v>257</v>
      </c>
      <c r="E29" s="81">
        <v>211</v>
      </c>
      <c r="F29" s="81">
        <v>187</v>
      </c>
      <c r="G29" s="81">
        <v>183</v>
      </c>
      <c r="H29" s="23"/>
      <c r="I29" s="57" t="s">
        <v>49</v>
      </c>
      <c r="J29" s="41">
        <f>C29/$K$2</f>
        <v>6.8787618228718825</v>
      </c>
      <c r="K29" s="41">
        <f t="shared" ref="K29:N29" si="25">D29/$K$2</f>
        <v>6.1383395433266452</v>
      </c>
      <c r="L29" s="41">
        <f t="shared" si="25"/>
        <v>5.039648418840164</v>
      </c>
      <c r="M29" s="41">
        <f t="shared" si="25"/>
        <v>4.4664182669341734</v>
      </c>
      <c r="N29" s="41">
        <f t="shared" si="25"/>
        <v>4.3708799082831753</v>
      </c>
      <c r="P29" s="88">
        <f>J29/$J29</f>
        <v>1</v>
      </c>
      <c r="Q29" s="88">
        <f t="shared" ref="Q29:T29" si="26">K29/$J29</f>
        <v>0.89236111111111116</v>
      </c>
      <c r="R29" s="88">
        <f t="shared" si="26"/>
        <v>0.73263888888888895</v>
      </c>
      <c r="S29" s="88">
        <f t="shared" si="26"/>
        <v>0.64930555555555547</v>
      </c>
      <c r="T29" s="88">
        <f t="shared" si="26"/>
        <v>0.63541666666666663</v>
      </c>
      <c r="V29" s="89">
        <f>J29*100/$Q$3</f>
        <v>5.3901760133768803</v>
      </c>
      <c r="W29" s="89">
        <f t="shared" ref="W29:Z29" si="27">K29*100/$Q$3</f>
        <v>4.8099834563814525</v>
      </c>
      <c r="X29" s="89">
        <f t="shared" si="27"/>
        <v>3.949052565355978</v>
      </c>
      <c r="Y29" s="89">
        <f t="shared" si="27"/>
        <v>3.4998712309079045</v>
      </c>
      <c r="Z29" s="89">
        <f t="shared" si="27"/>
        <v>3.425007675166559</v>
      </c>
    </row>
    <row r="30" spans="1:26" ht="15" thickBot="1">
      <c r="A30" s="80" t="s">
        <v>103</v>
      </c>
      <c r="B30" s="81" t="s">
        <v>99</v>
      </c>
      <c r="C30" s="81" t="s">
        <v>108</v>
      </c>
      <c r="D30" s="82">
        <v>87968</v>
      </c>
      <c r="E30" s="82">
        <v>643231</v>
      </c>
      <c r="F30" s="82">
        <v>1998677</v>
      </c>
      <c r="G30" s="82">
        <v>5655695</v>
      </c>
      <c r="H30" s="23"/>
      <c r="I30" s="57" t="s">
        <v>10</v>
      </c>
      <c r="J30" s="41" t="e">
        <f>C30*$K$3/1000</f>
        <v>#VALUE!</v>
      </c>
      <c r="K30" s="41">
        <f t="shared" ref="K30:N30" si="28">D30*$K$3/1000</f>
        <v>3.6830442240000001</v>
      </c>
      <c r="L30" s="41">
        <f t="shared" si="28"/>
        <v>26.930795508000003</v>
      </c>
      <c r="M30" s="41">
        <f t="shared" si="28"/>
        <v>83.680608636000002</v>
      </c>
      <c r="N30" s="41">
        <f t="shared" si="28"/>
        <v>236.79263826000002</v>
      </c>
    </row>
    <row r="31" spans="1:26" ht="15" thickBot="1">
      <c r="A31" s="80" t="s">
        <v>103</v>
      </c>
      <c r="B31" s="81" t="s">
        <v>101</v>
      </c>
      <c r="C31" s="81">
        <v>590</v>
      </c>
      <c r="D31" s="81">
        <v>514</v>
      </c>
      <c r="E31" s="81">
        <v>423</v>
      </c>
      <c r="F31" s="81">
        <v>374</v>
      </c>
      <c r="G31" s="81">
        <v>367</v>
      </c>
      <c r="H31" s="23"/>
      <c r="I31" s="57" t="s">
        <v>49</v>
      </c>
      <c r="J31" s="41">
        <f>C31/$K$2</f>
        <v>14.09190790102226</v>
      </c>
      <c r="K31" s="41">
        <f t="shared" ref="K31:N31" si="29">D31/$K$2</f>
        <v>12.27667908665329</v>
      </c>
      <c r="L31" s="41">
        <f t="shared" si="29"/>
        <v>10.103181427343078</v>
      </c>
      <c r="M31" s="41">
        <f t="shared" si="29"/>
        <v>8.9328365338683469</v>
      </c>
      <c r="N31" s="41">
        <f t="shared" si="29"/>
        <v>8.7656444062291001</v>
      </c>
      <c r="P31" s="88">
        <f>J31/$J31</f>
        <v>1</v>
      </c>
      <c r="Q31" s="88">
        <f t="shared" ref="Q31:T31" si="30">K31/$J31</f>
        <v>0.87118644067796602</v>
      </c>
      <c r="R31" s="88">
        <f t="shared" si="30"/>
        <v>0.71694915254237279</v>
      </c>
      <c r="S31" s="88">
        <f t="shared" si="30"/>
        <v>0.63389830508474565</v>
      </c>
      <c r="T31" s="88">
        <f t="shared" si="30"/>
        <v>0.62203389830508471</v>
      </c>
      <c r="V31" s="89">
        <f>J31*100/$Q$3</f>
        <v>11.04237447184847</v>
      </c>
      <c r="W31" s="89">
        <f t="shared" ref="W31:Z31" si="31">K31*100/$Q$3</f>
        <v>9.6199669127629051</v>
      </c>
      <c r="X31" s="89">
        <f t="shared" si="31"/>
        <v>7.9168210196472932</v>
      </c>
      <c r="Y31" s="89">
        <f t="shared" si="31"/>
        <v>6.9997424618158091</v>
      </c>
      <c r="Z31" s="89">
        <f t="shared" si="31"/>
        <v>6.8687312392684552</v>
      </c>
    </row>
    <row r="32" spans="1:26" ht="15" thickBot="1">
      <c r="A32" s="80" t="s">
        <v>83</v>
      </c>
      <c r="B32" s="81" t="s">
        <v>99</v>
      </c>
      <c r="C32" s="82">
        <v>779549</v>
      </c>
      <c r="D32" s="82">
        <v>795568</v>
      </c>
      <c r="E32" s="82">
        <v>452796</v>
      </c>
      <c r="F32" s="82">
        <v>823157</v>
      </c>
      <c r="G32" s="82">
        <v>1376225</v>
      </c>
      <c r="H32" s="23"/>
      <c r="I32" s="57" t="s">
        <v>10</v>
      </c>
      <c r="J32" s="41">
        <f>C32*$K$3/1000</f>
        <v>32.638157532000001</v>
      </c>
      <c r="K32" s="41">
        <f t="shared" ref="K32:N32" si="32">D32*$K$3/1000</f>
        <v>33.308841024000003</v>
      </c>
      <c r="L32" s="41">
        <f t="shared" si="32"/>
        <v>18.957662928000001</v>
      </c>
      <c r="M32" s="41">
        <f t="shared" si="32"/>
        <v>34.463937276000003</v>
      </c>
      <c r="N32" s="41">
        <f t="shared" si="32"/>
        <v>57.619788300000003</v>
      </c>
      <c r="P32" s="87"/>
    </row>
    <row r="33" spans="1:26" ht="15" thickBot="1">
      <c r="A33" s="80" t="s">
        <v>83</v>
      </c>
      <c r="B33" s="81" t="s">
        <v>101</v>
      </c>
      <c r="C33" s="81">
        <v>779</v>
      </c>
      <c r="D33" s="81">
        <v>792</v>
      </c>
      <c r="E33" s="81">
        <v>799</v>
      </c>
      <c r="F33" s="81">
        <v>792</v>
      </c>
      <c r="G33" s="81">
        <v>801</v>
      </c>
      <c r="H33" s="23"/>
      <c r="I33" s="57" t="s">
        <v>49</v>
      </c>
      <c r="J33" s="41">
        <f>C33/$K$2</f>
        <v>18.606095347281933</v>
      </c>
      <c r="K33" s="41">
        <f t="shared" ref="K33:N33" si="33">D33/$K$2</f>
        <v>18.916595012897677</v>
      </c>
      <c r="L33" s="41">
        <f t="shared" si="33"/>
        <v>19.083787140536923</v>
      </c>
      <c r="M33" s="41">
        <f t="shared" si="33"/>
        <v>18.916595012897677</v>
      </c>
      <c r="N33" s="41">
        <f t="shared" si="33"/>
        <v>19.131556319862423</v>
      </c>
      <c r="P33" s="88">
        <f>J33/$J33</f>
        <v>1</v>
      </c>
      <c r="Q33" s="88">
        <f t="shared" ref="Q33:T33" si="34">K33/$J33</f>
        <v>1.0166880616174583</v>
      </c>
      <c r="R33" s="88">
        <f t="shared" si="34"/>
        <v>1.0256739409499358</v>
      </c>
      <c r="S33" s="88">
        <f t="shared" si="34"/>
        <v>1.0166880616174583</v>
      </c>
      <c r="T33" s="88">
        <f t="shared" si="34"/>
        <v>1.0282413350449293</v>
      </c>
      <c r="V33" s="89">
        <f>J33*100/$Q$3</f>
        <v>14.579677480627048</v>
      </c>
      <c r="W33" s="89">
        <f t="shared" ref="W33:Z33" si="35">K33*100/$Q$3</f>
        <v>14.822984036786419</v>
      </c>
      <c r="X33" s="89">
        <f t="shared" si="35"/>
        <v>14.953995259333775</v>
      </c>
      <c r="Y33" s="89">
        <f t="shared" si="35"/>
        <v>14.822984036786419</v>
      </c>
      <c r="Z33" s="89">
        <f t="shared" si="35"/>
        <v>14.991427037204447</v>
      </c>
    </row>
    <row r="34" spans="1:26" ht="15" thickBot="1">
      <c r="A34" s="80" t="s">
        <v>84</v>
      </c>
      <c r="B34" s="81" t="s">
        <v>99</v>
      </c>
      <c r="C34" s="82">
        <v>101448</v>
      </c>
      <c r="D34" s="82">
        <v>117598</v>
      </c>
      <c r="E34" s="81">
        <v>0</v>
      </c>
      <c r="F34" s="81">
        <v>0</v>
      </c>
      <c r="G34" s="82">
        <v>104602</v>
      </c>
      <c r="H34" s="23"/>
      <c r="I34" s="57" t="s">
        <v>10</v>
      </c>
      <c r="J34" s="41">
        <f>C34*$K$3/1000</f>
        <v>4.247424864000001</v>
      </c>
      <c r="K34" s="41">
        <f t="shared" ref="K34:N34" si="36">D34*$K$3/1000</f>
        <v>4.9235930640000003</v>
      </c>
      <c r="L34" s="41">
        <f t="shared" si="36"/>
        <v>0</v>
      </c>
      <c r="M34" s="41">
        <f t="shared" si="36"/>
        <v>0</v>
      </c>
      <c r="N34" s="41">
        <f t="shared" si="36"/>
        <v>4.3794765360000003</v>
      </c>
    </row>
    <row r="35" spans="1:26" ht="15" thickBot="1">
      <c r="A35" s="80" t="s">
        <v>84</v>
      </c>
      <c r="B35" s="81" t="s">
        <v>101</v>
      </c>
      <c r="C35" s="82">
        <v>1209</v>
      </c>
      <c r="D35" s="82">
        <v>1367</v>
      </c>
      <c r="E35" s="82">
        <v>1500</v>
      </c>
      <c r="F35" s="82">
        <v>1506</v>
      </c>
      <c r="G35" s="82">
        <v>1550</v>
      </c>
      <c r="H35" s="23"/>
      <c r="I35" s="57" t="s">
        <v>49</v>
      </c>
      <c r="J35" s="41">
        <f>C35/$K$2</f>
        <v>28.876468902264257</v>
      </c>
      <c r="K35" s="41">
        <f t="shared" ref="K35:N35" si="37">D35/$K$2</f>
        <v>32.650234068978691</v>
      </c>
      <c r="L35" s="41">
        <f t="shared" si="37"/>
        <v>35.826884494124393</v>
      </c>
      <c r="M35" s="41">
        <f t="shared" si="37"/>
        <v>35.97019203210089</v>
      </c>
      <c r="N35" s="41">
        <f t="shared" si="37"/>
        <v>37.021113977261869</v>
      </c>
      <c r="P35" s="88">
        <f>J35/$J35</f>
        <v>1</v>
      </c>
      <c r="Q35" s="88">
        <f t="shared" ref="Q35:T35" si="38">K35/$J35</f>
        <v>1.1306865177832919</v>
      </c>
      <c r="R35" s="88">
        <f>L35/$J35</f>
        <v>1.240694789081886</v>
      </c>
      <c r="S35" s="88">
        <f t="shared" si="38"/>
        <v>1.2456575682382136</v>
      </c>
      <c r="T35" s="88">
        <f t="shared" si="38"/>
        <v>1.2820512820512822</v>
      </c>
      <c r="V35" s="89">
        <f>J35*100/$Q$3</f>
        <v>22.627509722821692</v>
      </c>
      <c r="W35" s="89">
        <f t="shared" ref="W35:Z35" si="39">K35*100/$Q$3</f>
        <v>25.58462017460484</v>
      </c>
      <c r="X35" s="89">
        <f t="shared" si="39"/>
        <v>28.073833403004585</v>
      </c>
      <c r="Y35" s="89">
        <f t="shared" si="39"/>
        <v>28.186128736616606</v>
      </c>
      <c r="Z35" s="89">
        <f t="shared" si="39"/>
        <v>29.009627849771405</v>
      </c>
    </row>
    <row r="36" spans="1:26">
      <c r="A36" s="85"/>
      <c r="H36" s="23"/>
      <c r="I36" s="25"/>
      <c r="J36" s="25"/>
      <c r="K36" s="57"/>
      <c r="L36" s="57"/>
      <c r="M36" s="57"/>
      <c r="N36" s="57"/>
    </row>
    <row r="37" spans="1:26" ht="15" thickBot="1">
      <c r="A37" s="75" t="s">
        <v>104</v>
      </c>
      <c r="H37" s="23"/>
      <c r="I37" s="76" t="s">
        <v>97</v>
      </c>
      <c r="J37" s="25"/>
      <c r="K37" s="57"/>
      <c r="L37" s="57"/>
      <c r="M37" s="57"/>
      <c r="N37" s="57"/>
      <c r="P37" t="s">
        <v>106</v>
      </c>
      <c r="V37" s="76" t="s">
        <v>107</v>
      </c>
    </row>
    <row r="38" spans="1:26" ht="15" thickBot="1">
      <c r="A38" s="77"/>
      <c r="B38" s="78" t="s">
        <v>18</v>
      </c>
      <c r="C38" s="78">
        <v>2010</v>
      </c>
      <c r="D38" s="78">
        <v>2015</v>
      </c>
      <c r="E38" s="78">
        <v>2020</v>
      </c>
      <c r="F38" s="78">
        <v>2025</v>
      </c>
      <c r="G38" s="78">
        <v>2030</v>
      </c>
      <c r="H38" s="23"/>
      <c r="I38" s="79" t="s">
        <v>18</v>
      </c>
      <c r="J38" s="79">
        <v>2010</v>
      </c>
      <c r="K38" s="79">
        <v>2015</v>
      </c>
      <c r="L38" s="79">
        <v>2020</v>
      </c>
      <c r="M38" s="79">
        <v>2025</v>
      </c>
      <c r="N38" s="79">
        <v>2030</v>
      </c>
      <c r="P38" s="86">
        <v>2010</v>
      </c>
      <c r="Q38" s="86">
        <v>2015</v>
      </c>
      <c r="R38" s="86">
        <v>2020</v>
      </c>
      <c r="S38" s="86">
        <v>2025</v>
      </c>
      <c r="T38" s="86">
        <v>2030</v>
      </c>
      <c r="V38" s="86">
        <v>2010</v>
      </c>
      <c r="W38" s="86">
        <v>2015</v>
      </c>
      <c r="X38" s="86">
        <v>2020</v>
      </c>
      <c r="Y38" s="86">
        <v>2025</v>
      </c>
      <c r="Z38" s="86">
        <v>2030</v>
      </c>
    </row>
    <row r="39" spans="1:26" ht="15" thickBot="1">
      <c r="A39" s="80" t="s">
        <v>98</v>
      </c>
      <c r="B39" s="81" t="s">
        <v>99</v>
      </c>
      <c r="C39" s="82">
        <v>7640</v>
      </c>
      <c r="D39" s="81">
        <v>0</v>
      </c>
      <c r="E39" s="81">
        <v>0</v>
      </c>
      <c r="F39" s="81">
        <v>0</v>
      </c>
      <c r="G39" s="82">
        <v>142382</v>
      </c>
      <c r="H39" s="23"/>
      <c r="I39" s="57" t="s">
        <v>10</v>
      </c>
      <c r="J39" s="41">
        <f>C39*$K$3/1000</f>
        <v>0.31987152000000002</v>
      </c>
      <c r="K39" s="41">
        <f t="shared" ref="K39:N39" si="40">D39*$K$3/1000</f>
        <v>0</v>
      </c>
      <c r="L39" s="41">
        <f t="shared" si="40"/>
        <v>0</v>
      </c>
      <c r="M39" s="41">
        <f t="shared" si="40"/>
        <v>0</v>
      </c>
      <c r="N39" s="41">
        <f t="shared" si="40"/>
        <v>5.9612495760000002</v>
      </c>
      <c r="P39" s="87"/>
    </row>
    <row r="40" spans="1:26" ht="15" thickBot="1">
      <c r="A40" s="80" t="s">
        <v>98</v>
      </c>
      <c r="B40" s="81" t="s">
        <v>101</v>
      </c>
      <c r="C40" s="81">
        <v>288</v>
      </c>
      <c r="D40" s="81">
        <v>226</v>
      </c>
      <c r="E40" s="81">
        <v>185</v>
      </c>
      <c r="F40" s="81">
        <v>165</v>
      </c>
      <c r="G40" s="81">
        <v>162</v>
      </c>
      <c r="H40" s="23"/>
      <c r="I40" s="57" t="s">
        <v>49</v>
      </c>
      <c r="J40" s="41">
        <f>C40/$K$2</f>
        <v>6.8787618228718825</v>
      </c>
      <c r="K40" s="41">
        <f t="shared" ref="K40:N40" si="41">D40/$K$2</f>
        <v>5.3979172637814079</v>
      </c>
      <c r="L40" s="41">
        <f t="shared" si="41"/>
        <v>4.4186490876086744</v>
      </c>
      <c r="M40" s="41">
        <f t="shared" si="41"/>
        <v>3.9409572943536828</v>
      </c>
      <c r="N40" s="41">
        <f t="shared" si="41"/>
        <v>3.8693035253654342</v>
      </c>
      <c r="P40" s="88">
        <f>J40/$J40</f>
        <v>1</v>
      </c>
      <c r="Q40" s="88">
        <f t="shared" ref="Q40:T40" si="42">K40/$J40</f>
        <v>0.78472222222222221</v>
      </c>
      <c r="R40" s="88">
        <f t="shared" si="42"/>
        <v>0.64236111111111105</v>
      </c>
      <c r="S40" s="88">
        <f t="shared" si="42"/>
        <v>0.57291666666666663</v>
      </c>
      <c r="T40" s="88">
        <f t="shared" si="42"/>
        <v>0.5625</v>
      </c>
      <c r="V40" s="89">
        <f>J40*100/$Q$3</f>
        <v>5.3901760133768803</v>
      </c>
      <c r="W40" s="89">
        <f t="shared" ref="W40:Z40" si="43">K40*100/$Q$3</f>
        <v>4.2297908993860238</v>
      </c>
      <c r="X40" s="89">
        <f t="shared" si="43"/>
        <v>3.4624394530372316</v>
      </c>
      <c r="Y40" s="89">
        <f t="shared" si="43"/>
        <v>3.0881216743305044</v>
      </c>
      <c r="Z40" s="89">
        <f t="shared" si="43"/>
        <v>3.0319740075244952</v>
      </c>
    </row>
    <row r="41" spans="1:26" ht="15" thickBot="1">
      <c r="A41" s="80" t="s">
        <v>103</v>
      </c>
      <c r="B41" s="81" t="s">
        <v>99</v>
      </c>
      <c r="C41" s="82">
        <v>22921</v>
      </c>
      <c r="D41" s="81">
        <v>0</v>
      </c>
      <c r="E41" s="81">
        <v>0</v>
      </c>
      <c r="F41" s="81">
        <v>0</v>
      </c>
      <c r="G41" s="82">
        <v>427146</v>
      </c>
      <c r="H41" s="23"/>
      <c r="I41" s="57" t="s">
        <v>10</v>
      </c>
      <c r="J41" s="41">
        <f>C41*$K$3/1000</f>
        <v>0.95965642799999995</v>
      </c>
      <c r="K41" s="41">
        <f t="shared" ref="K41:N41" si="44">D41*$K$3/1000</f>
        <v>0</v>
      </c>
      <c r="L41" s="41">
        <f t="shared" si="44"/>
        <v>0</v>
      </c>
      <c r="M41" s="41">
        <f t="shared" si="44"/>
        <v>0</v>
      </c>
      <c r="N41" s="41">
        <f t="shared" si="44"/>
        <v>17.883748728000004</v>
      </c>
    </row>
    <row r="42" spans="1:26" ht="15" thickBot="1">
      <c r="A42" s="80" t="s">
        <v>103</v>
      </c>
      <c r="B42" s="81" t="s">
        <v>101</v>
      </c>
      <c r="C42" s="81">
        <v>590</v>
      </c>
      <c r="D42" s="81">
        <v>462</v>
      </c>
      <c r="E42" s="81">
        <v>379</v>
      </c>
      <c r="F42" s="81">
        <v>338</v>
      </c>
      <c r="G42" s="81">
        <v>331</v>
      </c>
      <c r="H42" s="23"/>
      <c r="I42" s="57" t="s">
        <v>49</v>
      </c>
      <c r="J42" s="41">
        <f>C42/$K$2</f>
        <v>14.09190790102226</v>
      </c>
      <c r="K42" s="41">
        <f t="shared" ref="K42:N42" si="45">D42/$K$2</f>
        <v>11.034680424190311</v>
      </c>
      <c r="L42" s="41">
        <f t="shared" si="45"/>
        <v>9.0522594821820963</v>
      </c>
      <c r="M42" s="41">
        <f t="shared" si="45"/>
        <v>8.0729913060093619</v>
      </c>
      <c r="N42" s="41">
        <f t="shared" si="45"/>
        <v>7.9057991783701151</v>
      </c>
      <c r="P42" s="88">
        <f>J42/$J42</f>
        <v>1</v>
      </c>
      <c r="Q42" s="88">
        <f t="shared" ref="Q42:T42" si="46">K42/$J42</f>
        <v>0.78305084745762699</v>
      </c>
      <c r="R42" s="88">
        <f t="shared" si="46"/>
        <v>0.64237288135593218</v>
      </c>
      <c r="S42" s="88">
        <f t="shared" si="46"/>
        <v>0.57288135593220335</v>
      </c>
      <c r="T42" s="88">
        <f t="shared" si="46"/>
        <v>0.5610169491525423</v>
      </c>
      <c r="V42" s="89">
        <f>J42*100/$Q$3</f>
        <v>11.04237447184847</v>
      </c>
      <c r="W42" s="89">
        <f t="shared" ref="W42:Z42" si="47">K42*100/$Q$3</f>
        <v>8.6467406881254103</v>
      </c>
      <c r="X42" s="89">
        <f t="shared" si="47"/>
        <v>7.0933219064924922</v>
      </c>
      <c r="Y42" s="89">
        <f t="shared" si="47"/>
        <v>6.3259704601436999</v>
      </c>
      <c r="Z42" s="89">
        <f t="shared" si="47"/>
        <v>6.1949592375963451</v>
      </c>
    </row>
    <row r="43" spans="1:26" ht="15" thickBot="1">
      <c r="A43" s="80" t="s">
        <v>83</v>
      </c>
      <c r="B43" s="81" t="s">
        <v>99</v>
      </c>
      <c r="C43" s="82">
        <v>781304</v>
      </c>
      <c r="D43" s="82">
        <v>788018</v>
      </c>
      <c r="E43" s="82">
        <v>409398</v>
      </c>
      <c r="F43" s="82">
        <v>734123</v>
      </c>
      <c r="G43" s="82">
        <v>1404121</v>
      </c>
      <c r="H43" s="23"/>
      <c r="I43" s="57" t="s">
        <v>10</v>
      </c>
      <c r="J43" s="41">
        <f>C43*$K$3/1000</f>
        <v>32.711635872000002</v>
      </c>
      <c r="K43" s="41">
        <f t="shared" ref="K43:N43" si="48">D43*$K$3/1000</f>
        <v>32.992737624</v>
      </c>
      <c r="L43" s="41">
        <f t="shared" si="48"/>
        <v>17.140675464000001</v>
      </c>
      <c r="M43" s="41">
        <f t="shared" si="48"/>
        <v>30.736261764000002</v>
      </c>
      <c r="N43" s="41">
        <f t="shared" si="48"/>
        <v>58.787738028000007</v>
      </c>
      <c r="P43" s="87"/>
    </row>
    <row r="44" spans="1:26" ht="15" thickBot="1">
      <c r="A44" s="80" t="s">
        <v>83</v>
      </c>
      <c r="B44" s="81" t="s">
        <v>101</v>
      </c>
      <c r="C44" s="81">
        <v>779</v>
      </c>
      <c r="D44" s="81">
        <v>824</v>
      </c>
      <c r="E44" s="81">
        <v>866</v>
      </c>
      <c r="F44" s="81">
        <v>911</v>
      </c>
      <c r="G44" s="81">
        <v>986</v>
      </c>
      <c r="H44" s="23"/>
      <c r="I44" s="57" t="s">
        <v>49</v>
      </c>
      <c r="J44" s="41">
        <f>C44/$K$2</f>
        <v>18.606095347281933</v>
      </c>
      <c r="K44" s="41">
        <f t="shared" ref="K44:N44" si="49">D44/$K$2</f>
        <v>19.680901882105665</v>
      </c>
      <c r="L44" s="41">
        <f t="shared" si="49"/>
        <v>20.684054647941146</v>
      </c>
      <c r="M44" s="41">
        <f t="shared" si="49"/>
        <v>21.758861182764878</v>
      </c>
      <c r="N44" s="41">
        <f t="shared" si="49"/>
        <v>23.550205407471097</v>
      </c>
      <c r="P44" s="88">
        <f>J44/$J44</f>
        <v>1</v>
      </c>
      <c r="Q44" s="88">
        <f t="shared" ref="Q44:T44" si="50">K44/$J44</f>
        <v>1.0577663671373556</v>
      </c>
      <c r="R44" s="88">
        <f t="shared" si="50"/>
        <v>1.1116816431322207</v>
      </c>
      <c r="S44" s="88">
        <f t="shared" si="50"/>
        <v>1.1694480102695763</v>
      </c>
      <c r="T44" s="88">
        <f t="shared" si="50"/>
        <v>1.2657252888318355</v>
      </c>
      <c r="V44" s="89">
        <f>J44*100/$Q$3</f>
        <v>14.579677480627048</v>
      </c>
      <c r="W44" s="89">
        <f t="shared" ref="W44:Z44" si="51">K44*100/$Q$3</f>
        <v>15.421892482717185</v>
      </c>
      <c r="X44" s="89">
        <f t="shared" si="51"/>
        <v>16.207959818001314</v>
      </c>
      <c r="Y44" s="89">
        <f t="shared" si="51"/>
        <v>17.050174820091449</v>
      </c>
      <c r="Z44" s="89">
        <f t="shared" si="51"/>
        <v>18.45386649024168</v>
      </c>
    </row>
    <row r="45" spans="1:26" ht="15" thickBot="1">
      <c r="A45" s="80" t="s">
        <v>84</v>
      </c>
      <c r="B45" s="81" t="s">
        <v>99</v>
      </c>
      <c r="C45" s="82">
        <v>101544</v>
      </c>
      <c r="D45" s="82">
        <v>112987</v>
      </c>
      <c r="E45" s="81">
        <v>0</v>
      </c>
      <c r="F45" s="81">
        <v>0</v>
      </c>
      <c r="G45" s="82">
        <v>109936</v>
      </c>
      <c r="H45" s="23"/>
      <c r="I45" s="57" t="s">
        <v>10</v>
      </c>
      <c r="J45" s="41">
        <f>C45*$K$3/1000</f>
        <v>4.2514441920000001</v>
      </c>
      <c r="K45" s="41">
        <f t="shared" ref="K45:N45" si="52">D45*$K$3/1000</f>
        <v>4.730539716</v>
      </c>
      <c r="L45" s="41">
        <f t="shared" si="52"/>
        <v>0</v>
      </c>
      <c r="M45" s="41">
        <f t="shared" si="52"/>
        <v>0</v>
      </c>
      <c r="N45" s="41">
        <f t="shared" si="52"/>
        <v>4.602800448</v>
      </c>
    </row>
    <row r="46" spans="1:26" ht="15" thickBot="1">
      <c r="A46" s="80" t="s">
        <v>84</v>
      </c>
      <c r="B46" s="81" t="s">
        <v>101</v>
      </c>
      <c r="C46" s="82">
        <v>1209</v>
      </c>
      <c r="D46" s="82">
        <v>1420</v>
      </c>
      <c r="E46" s="82">
        <v>1605</v>
      </c>
      <c r="F46" s="82">
        <v>1694</v>
      </c>
      <c r="G46" s="82">
        <v>1832</v>
      </c>
      <c r="H46" s="23"/>
      <c r="I46" s="57" t="s">
        <v>49</v>
      </c>
      <c r="J46" s="41">
        <f>C46/$K$2</f>
        <v>28.876468902264257</v>
      </c>
      <c r="K46" s="41">
        <f t="shared" ref="K46:N46" si="53">D46/$K$2</f>
        <v>33.916117321104423</v>
      </c>
      <c r="L46" s="41">
        <f t="shared" si="53"/>
        <v>38.334766408713094</v>
      </c>
      <c r="M46" s="41">
        <f t="shared" si="53"/>
        <v>40.460494888697809</v>
      </c>
      <c r="N46" s="41">
        <f t="shared" si="53"/>
        <v>43.756568262157252</v>
      </c>
      <c r="P46" s="88">
        <f>J46/$J46</f>
        <v>1</v>
      </c>
      <c r="Q46" s="88">
        <f t="shared" ref="Q46:T46" si="54">K46/$J46</f>
        <v>1.1745244003308519</v>
      </c>
      <c r="R46" s="88">
        <f t="shared" si="54"/>
        <v>1.3275434243176178</v>
      </c>
      <c r="S46" s="88">
        <f t="shared" si="54"/>
        <v>1.401157981803143</v>
      </c>
      <c r="T46" s="88">
        <f t="shared" si="54"/>
        <v>1.5153019023986765</v>
      </c>
      <c r="V46" s="89">
        <f>J46*100/$Q$3</f>
        <v>22.627509722821692</v>
      </c>
      <c r="W46" s="89">
        <f t="shared" ref="W46:Z46" si="55">K46*100/$Q$3</f>
        <v>26.576562288177673</v>
      </c>
      <c r="X46" s="89">
        <f t="shared" si="55"/>
        <v>30.039001741214904</v>
      </c>
      <c r="Y46" s="89">
        <f t="shared" si="55"/>
        <v>31.704715856459842</v>
      </c>
      <c r="Z46" s="89">
        <f t="shared" si="55"/>
        <v>34.287508529536261</v>
      </c>
    </row>
    <row r="47" spans="1:26">
      <c r="A47" s="75"/>
      <c r="H47" s="23"/>
      <c r="I47" s="25"/>
      <c r="J47" s="25"/>
      <c r="K47" s="57"/>
      <c r="L47" s="57"/>
      <c r="M47" s="57"/>
      <c r="N47" s="57"/>
    </row>
    <row r="48" spans="1:26" ht="15" thickBot="1">
      <c r="A48" s="75" t="s">
        <v>105</v>
      </c>
      <c r="H48" s="23"/>
      <c r="I48" s="76" t="s">
        <v>97</v>
      </c>
      <c r="J48" s="25"/>
      <c r="K48" s="57"/>
      <c r="L48" s="57"/>
      <c r="M48" s="57"/>
      <c r="N48" s="57"/>
      <c r="P48" t="s">
        <v>106</v>
      </c>
      <c r="V48" s="76" t="s">
        <v>107</v>
      </c>
    </row>
    <row r="49" spans="1:26" ht="15" thickBot="1">
      <c r="A49" s="77"/>
      <c r="B49" s="78" t="s">
        <v>18</v>
      </c>
      <c r="C49" s="78">
        <v>2010</v>
      </c>
      <c r="D49" s="78">
        <v>2015</v>
      </c>
      <c r="E49" s="78">
        <v>2020</v>
      </c>
      <c r="F49" s="78">
        <v>2025</v>
      </c>
      <c r="G49" s="78">
        <v>2030</v>
      </c>
      <c r="H49" s="23"/>
      <c r="I49" s="86" t="s">
        <v>18</v>
      </c>
      <c r="J49" s="86">
        <v>2010</v>
      </c>
      <c r="K49" s="86">
        <v>2015</v>
      </c>
      <c r="L49" s="86">
        <v>2020</v>
      </c>
      <c r="M49" s="86">
        <v>2025</v>
      </c>
      <c r="N49" s="86">
        <v>2030</v>
      </c>
      <c r="P49" s="86">
        <v>2010</v>
      </c>
      <c r="Q49" s="86">
        <v>2015</v>
      </c>
      <c r="R49" s="86">
        <v>2020</v>
      </c>
      <c r="S49" s="86">
        <v>2025</v>
      </c>
      <c r="T49" s="86">
        <v>2030</v>
      </c>
      <c r="V49" s="86">
        <v>2010</v>
      </c>
      <c r="W49" s="86">
        <v>2015</v>
      </c>
      <c r="X49" s="86">
        <v>2020</v>
      </c>
      <c r="Y49" s="86">
        <v>2025</v>
      </c>
      <c r="Z49" s="86">
        <v>2030</v>
      </c>
    </row>
    <row r="50" spans="1:26" ht="15" thickBot="1">
      <c r="A50" s="80" t="s">
        <v>98</v>
      </c>
      <c r="B50" s="81" t="s">
        <v>99</v>
      </c>
      <c r="C50" s="82">
        <v>6382</v>
      </c>
      <c r="D50" s="81">
        <v>0</v>
      </c>
      <c r="E50" s="82">
        <v>69709</v>
      </c>
      <c r="F50" s="82">
        <v>192223</v>
      </c>
      <c r="G50" s="82">
        <v>876934</v>
      </c>
      <c r="H50" s="23"/>
      <c r="I50" s="57" t="s">
        <v>10</v>
      </c>
      <c r="J50" s="41">
        <f>C50*$K$3/1000</f>
        <v>0.267201576</v>
      </c>
      <c r="K50" s="41">
        <f>AVERAGE(J50,L50)</f>
        <v>1.5928889940000002</v>
      </c>
      <c r="L50" s="41">
        <f t="shared" ref="L50:N50" si="56">E50*$K$3/1000</f>
        <v>2.9185764120000002</v>
      </c>
      <c r="M50" s="41">
        <f t="shared" si="56"/>
        <v>8.0479925639999994</v>
      </c>
      <c r="N50" s="91">
        <f t="shared" si="56"/>
        <v>36.715472712</v>
      </c>
      <c r="P50" s="87"/>
    </row>
    <row r="51" spans="1:26" ht="15" thickBot="1">
      <c r="A51" s="80" t="s">
        <v>98</v>
      </c>
      <c r="B51" s="81" t="s">
        <v>101</v>
      </c>
      <c r="C51" s="81">
        <v>288</v>
      </c>
      <c r="D51" s="81">
        <v>267</v>
      </c>
      <c r="E51" s="81">
        <v>226</v>
      </c>
      <c r="F51" s="81">
        <v>209</v>
      </c>
      <c r="G51" s="81">
        <v>211</v>
      </c>
      <c r="H51" s="23"/>
      <c r="I51" s="57" t="s">
        <v>49</v>
      </c>
      <c r="J51" s="41">
        <f>C51/$K$2</f>
        <v>6.8787618228718825</v>
      </c>
      <c r="K51" s="41">
        <f t="shared" ref="K51:N51" si="57">D51/$K$2</f>
        <v>6.3771854399541414</v>
      </c>
      <c r="L51" s="41">
        <f t="shared" si="57"/>
        <v>5.3979172637814079</v>
      </c>
      <c r="M51" s="41">
        <f t="shared" si="57"/>
        <v>4.9918792395146649</v>
      </c>
      <c r="N51" s="41">
        <f t="shared" si="57"/>
        <v>5.039648418840164</v>
      </c>
      <c r="P51" s="88">
        <f>J51/$J51</f>
        <v>1</v>
      </c>
      <c r="Q51" s="88">
        <f t="shared" ref="Q51:T51" si="58">K51/$J51</f>
        <v>0.92708333333333337</v>
      </c>
      <c r="R51" s="88">
        <f t="shared" si="58"/>
        <v>0.78472222222222221</v>
      </c>
      <c r="S51" s="88">
        <f t="shared" si="58"/>
        <v>0.72569444444444442</v>
      </c>
      <c r="T51" s="88">
        <f t="shared" si="58"/>
        <v>0.73263888888888895</v>
      </c>
      <c r="V51" s="89">
        <f>J51*100/$Q$3</f>
        <v>5.3901760133768803</v>
      </c>
      <c r="W51" s="89">
        <f t="shared" ref="W51:Z51" si="59">K51*100/$Q$3</f>
        <v>4.9971423457348161</v>
      </c>
      <c r="X51" s="89">
        <f t="shared" si="59"/>
        <v>4.2297908993860238</v>
      </c>
      <c r="Y51" s="89">
        <f t="shared" si="59"/>
        <v>3.9116207874853051</v>
      </c>
      <c r="Z51" s="89">
        <f t="shared" si="59"/>
        <v>3.949052565355978</v>
      </c>
    </row>
    <row r="52" spans="1:26" ht="15" thickBot="1">
      <c r="A52" s="80" t="s">
        <v>103</v>
      </c>
      <c r="B52" s="81" t="s">
        <v>99</v>
      </c>
      <c r="C52" s="82">
        <v>191470</v>
      </c>
      <c r="D52" s="81">
        <v>0</v>
      </c>
      <c r="E52" s="82">
        <v>209128</v>
      </c>
      <c r="F52" s="82">
        <v>576669</v>
      </c>
      <c r="G52" s="82">
        <v>2630803</v>
      </c>
      <c r="H52" s="23"/>
      <c r="I52" s="57" t="s">
        <v>10</v>
      </c>
      <c r="J52" s="41">
        <f>C52*$K$3/1000</f>
        <v>8.0164659599999997</v>
      </c>
      <c r="K52" s="41">
        <f>AVERAGE(J52,L52)</f>
        <v>8.3861185320000011</v>
      </c>
      <c r="L52" s="41">
        <f t="shared" ref="L52:N52" si="60">E52*$K$3/1000</f>
        <v>8.7557711040000008</v>
      </c>
      <c r="M52" s="41">
        <f t="shared" si="60"/>
        <v>24.143977692</v>
      </c>
      <c r="N52" s="91">
        <f t="shared" si="60"/>
        <v>110.14646000400001</v>
      </c>
    </row>
    <row r="53" spans="1:26" ht="15" thickBot="1">
      <c r="A53" s="80" t="s">
        <v>103</v>
      </c>
      <c r="B53" s="81" t="s">
        <v>101</v>
      </c>
      <c r="C53" s="81">
        <v>590</v>
      </c>
      <c r="D53" s="81">
        <v>535</v>
      </c>
      <c r="E53" s="81">
        <v>452</v>
      </c>
      <c r="F53" s="81">
        <v>418</v>
      </c>
      <c r="G53" s="81">
        <v>421</v>
      </c>
      <c r="H53" s="23"/>
      <c r="I53" s="57" t="s">
        <v>49</v>
      </c>
      <c r="J53" s="41">
        <f>C53/$K$2</f>
        <v>14.09190790102226</v>
      </c>
      <c r="K53" s="41">
        <f t="shared" ref="K53:N53" si="61">D53/$K$2</f>
        <v>12.778255469571032</v>
      </c>
      <c r="L53" s="41">
        <f t="shared" si="61"/>
        <v>10.795834527562816</v>
      </c>
      <c r="M53" s="41">
        <f t="shared" si="61"/>
        <v>9.9837584790293299</v>
      </c>
      <c r="N53" s="41">
        <f t="shared" si="61"/>
        <v>10.055412248017578</v>
      </c>
      <c r="P53" s="88">
        <f>J53/$J53</f>
        <v>1</v>
      </c>
      <c r="Q53" s="88">
        <f t="shared" ref="Q53:T53" si="62">K53/$J53</f>
        <v>0.90677966101694918</v>
      </c>
      <c r="R53" s="88">
        <f t="shared" si="62"/>
        <v>0.76610169491525415</v>
      </c>
      <c r="S53" s="88">
        <f t="shared" si="62"/>
        <v>0.70847457627118637</v>
      </c>
      <c r="T53" s="88">
        <f t="shared" si="62"/>
        <v>0.71355932203389827</v>
      </c>
      <c r="V53" s="89">
        <f>J53*100/$Q$3</f>
        <v>11.04237447184847</v>
      </c>
      <c r="W53" s="89">
        <f t="shared" ref="W53:Z53" si="63">K53*100/$Q$3</f>
        <v>10.013000580404968</v>
      </c>
      <c r="X53" s="89">
        <f t="shared" si="63"/>
        <v>8.4595817987720476</v>
      </c>
      <c r="Y53" s="89">
        <f t="shared" si="63"/>
        <v>7.8232415749706101</v>
      </c>
      <c r="Z53" s="89">
        <f t="shared" si="63"/>
        <v>7.8793892417766198</v>
      </c>
    </row>
    <row r="54" spans="1:26" ht="15" thickBot="1">
      <c r="A54" s="80" t="s">
        <v>83</v>
      </c>
      <c r="B54" s="81" t="s">
        <v>99</v>
      </c>
      <c r="C54" s="82">
        <v>779549</v>
      </c>
      <c r="D54" s="82">
        <v>792079</v>
      </c>
      <c r="E54" s="82">
        <v>421094</v>
      </c>
      <c r="F54" s="82">
        <v>750039</v>
      </c>
      <c r="G54" s="82">
        <v>1428558</v>
      </c>
      <c r="H54" s="23"/>
      <c r="I54" s="57" t="s">
        <v>10</v>
      </c>
      <c r="J54" s="41">
        <f>C54*$K$3/1000</f>
        <v>32.638157532000001</v>
      </c>
      <c r="K54" s="41">
        <f t="shared" ref="K54:N54" si="64">D54*$K$3/1000</f>
        <v>33.162763572000003</v>
      </c>
      <c r="L54" s="91">
        <f t="shared" si="64"/>
        <v>17.630363592000002</v>
      </c>
      <c r="M54" s="41">
        <f t="shared" si="64"/>
        <v>31.402632852000004</v>
      </c>
      <c r="N54" s="91">
        <f t="shared" si="64"/>
        <v>59.810866344000004</v>
      </c>
      <c r="P54" s="87"/>
    </row>
    <row r="55" spans="1:26" ht="15" thickBot="1">
      <c r="A55" s="80" t="s">
        <v>83</v>
      </c>
      <c r="B55" s="81" t="s">
        <v>101</v>
      </c>
      <c r="C55" s="81">
        <v>779</v>
      </c>
      <c r="D55" s="81">
        <v>864</v>
      </c>
      <c r="E55" s="81">
        <v>951</v>
      </c>
      <c r="F55" s="81">
        <v>1054</v>
      </c>
      <c r="G55" s="81">
        <v>1204</v>
      </c>
      <c r="H55" s="23"/>
      <c r="I55" s="57" t="s">
        <v>49</v>
      </c>
      <c r="J55" s="41">
        <f>C55/$K$2</f>
        <v>18.606095347281933</v>
      </c>
      <c r="K55" s="41">
        <f t="shared" ref="K55:N55" si="65">D55/$K$2</f>
        <v>20.636285468615647</v>
      </c>
      <c r="L55" s="41">
        <f t="shared" si="65"/>
        <v>22.714244769274863</v>
      </c>
      <c r="M55" s="41">
        <f t="shared" si="65"/>
        <v>25.174357504538072</v>
      </c>
      <c r="N55" s="41">
        <f t="shared" si="65"/>
        <v>28.757045953950509</v>
      </c>
      <c r="P55" s="88">
        <f>J55/$J55</f>
        <v>1</v>
      </c>
      <c r="Q55" s="88">
        <f t="shared" ref="Q55:T55" si="66">K55/$J55</f>
        <v>1.1091142490372272</v>
      </c>
      <c r="R55" s="88">
        <f t="shared" si="66"/>
        <v>1.2207958921694479</v>
      </c>
      <c r="S55" s="88">
        <f t="shared" si="66"/>
        <v>1.3530166880616175</v>
      </c>
      <c r="T55" s="88">
        <f t="shared" si="66"/>
        <v>1.5455712451861361</v>
      </c>
      <c r="V55" s="89">
        <f>J55*100/$Q$3</f>
        <v>14.579677480627048</v>
      </c>
      <c r="W55" s="89">
        <f t="shared" ref="W55:Z55" si="67">K55*100/$Q$3</f>
        <v>16.170528040130641</v>
      </c>
      <c r="X55" s="89">
        <f t="shared" si="67"/>
        <v>17.798810377504907</v>
      </c>
      <c r="Y55" s="89">
        <f t="shared" si="67"/>
        <v>19.726546937844553</v>
      </c>
      <c r="Z55" s="89">
        <f t="shared" si="67"/>
        <v>22.533930278145014</v>
      </c>
    </row>
    <row r="56" spans="1:26" ht="15" thickBot="1">
      <c r="A56" s="80" t="s">
        <v>84</v>
      </c>
      <c r="B56" s="81" t="s">
        <v>99</v>
      </c>
      <c r="C56" s="82">
        <v>101448</v>
      </c>
      <c r="D56" s="82">
        <v>118165</v>
      </c>
      <c r="E56" s="81">
        <v>0</v>
      </c>
      <c r="F56" s="81">
        <v>0</v>
      </c>
      <c r="G56" s="82">
        <v>122199</v>
      </c>
      <c r="H56" s="23"/>
      <c r="I56" s="57" t="s">
        <v>10</v>
      </c>
      <c r="J56" s="41">
        <f>C56*$K$3/1000</f>
        <v>4.247424864000001</v>
      </c>
      <c r="K56" s="41">
        <f t="shared" ref="K56:N56" si="68">D56*$K$3/1000</f>
        <v>4.9473322199999998</v>
      </c>
      <c r="L56" s="41">
        <f t="shared" si="68"/>
        <v>0</v>
      </c>
      <c r="M56" s="41">
        <f t="shared" si="68"/>
        <v>0</v>
      </c>
      <c r="N56" s="91">
        <f t="shared" si="68"/>
        <v>5.1162277320000005</v>
      </c>
    </row>
    <row r="57" spans="1:26" ht="15" thickBot="1">
      <c r="A57" s="80" t="s">
        <v>84</v>
      </c>
      <c r="B57" s="81" t="s">
        <v>101</v>
      </c>
      <c r="C57" s="82">
        <v>1209</v>
      </c>
      <c r="D57" s="82">
        <v>1488</v>
      </c>
      <c r="E57" s="82">
        <v>1755</v>
      </c>
      <c r="F57" s="82">
        <v>1948</v>
      </c>
      <c r="G57" s="82">
        <v>2212</v>
      </c>
      <c r="H57" s="23"/>
      <c r="I57" s="57" t="s">
        <v>49</v>
      </c>
      <c r="J57" s="41">
        <f>C57/$K$2</f>
        <v>28.876468902264257</v>
      </c>
      <c r="K57" s="41">
        <f t="shared" ref="K57:N57" si="69">D57/$K$2</f>
        <v>35.540269418171391</v>
      </c>
      <c r="L57" s="41">
        <f t="shared" si="69"/>
        <v>41.917454858125538</v>
      </c>
      <c r="M57" s="41">
        <f t="shared" si="69"/>
        <v>46.527180663036205</v>
      </c>
      <c r="N57" s="41">
        <f t="shared" si="69"/>
        <v>52.832712334002096</v>
      </c>
      <c r="P57" s="88">
        <f>J57/$J57</f>
        <v>1</v>
      </c>
      <c r="Q57" s="88">
        <f t="shared" ref="Q57:T57" si="70">K57/$J57</f>
        <v>1.2307692307692306</v>
      </c>
      <c r="R57" s="88">
        <f t="shared" si="70"/>
        <v>1.4516129032258065</v>
      </c>
      <c r="S57" s="88">
        <f t="shared" si="70"/>
        <v>1.6112489660876756</v>
      </c>
      <c r="T57" s="88">
        <f t="shared" si="70"/>
        <v>1.8296112489660876</v>
      </c>
      <c r="V57" s="89">
        <f>J57*100/$Q$3</f>
        <v>22.627509722821692</v>
      </c>
      <c r="W57" s="89">
        <f t="shared" ref="W57:Z57" si="71">K57*100/$Q$3</f>
        <v>27.849242735780546</v>
      </c>
      <c r="X57" s="89">
        <f t="shared" si="71"/>
        <v>32.846385081515365</v>
      </c>
      <c r="Y57" s="89">
        <f t="shared" si="71"/>
        <v>36.458551646035289</v>
      </c>
      <c r="Z57" s="89">
        <f t="shared" si="71"/>
        <v>41.399546324964092</v>
      </c>
    </row>
  </sheetData>
  <mergeCells count="1">
    <mergeCell ref="P1:Q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2DFA-A498-428E-8EBC-6735D731296E}">
  <sheetPr codeName="Sheet14">
    <tabColor theme="0" tint="-0.499984740745262"/>
  </sheetPr>
  <dimension ref="A1:E11"/>
  <sheetViews>
    <sheetView workbookViewId="0">
      <selection activeCell="A10" sqref="A10"/>
    </sheetView>
  </sheetViews>
  <sheetFormatPr defaultColWidth="9.21875" defaultRowHeight="14.4"/>
  <cols>
    <col min="1" max="16384" width="9.21875" style="23"/>
  </cols>
  <sheetData>
    <row r="1" spans="1:5">
      <c r="A1" s="66" t="s">
        <v>538</v>
      </c>
      <c r="B1" s="66"/>
    </row>
    <row r="2" spans="1:5">
      <c r="A2" s="23" t="s">
        <v>93</v>
      </c>
      <c r="B2" s="25" t="s">
        <v>537</v>
      </c>
      <c r="C2" s="23">
        <v>4.1868000000000002E-2</v>
      </c>
      <c r="D2" s="23" t="s">
        <v>10</v>
      </c>
    </row>
    <row r="3" spans="1:5">
      <c r="A3" s="23" t="s">
        <v>534</v>
      </c>
      <c r="B3" s="25" t="s">
        <v>537</v>
      </c>
      <c r="C3" s="23">
        <v>1.0550999999999999</v>
      </c>
      <c r="D3" s="23" t="s">
        <v>90</v>
      </c>
    </row>
    <row r="4" spans="1:5">
      <c r="A4" s="23" t="s">
        <v>89</v>
      </c>
      <c r="B4" s="25" t="s">
        <v>537</v>
      </c>
      <c r="C4" s="23">
        <v>7.33</v>
      </c>
      <c r="D4" s="23" t="s">
        <v>535</v>
      </c>
      <c r="E4" s="251"/>
    </row>
    <row r="5" spans="1:5">
      <c r="A5" s="23" t="s">
        <v>536</v>
      </c>
      <c r="B5" s="25" t="s">
        <v>537</v>
      </c>
      <c r="C5" s="23">
        <f>C2/C4*1000</f>
        <v>5.7118690313778995</v>
      </c>
      <c r="D5" s="23" t="s">
        <v>90</v>
      </c>
    </row>
    <row r="9" spans="1:5">
      <c r="A9" s="66" t="s">
        <v>539</v>
      </c>
    </row>
    <row r="10" spans="1:5">
      <c r="A10" s="23" t="s">
        <v>540</v>
      </c>
      <c r="B10" s="25" t="s">
        <v>537</v>
      </c>
      <c r="C10" s="23">
        <v>1.1194745098039223</v>
      </c>
      <c r="D10" s="23" t="s">
        <v>541</v>
      </c>
    </row>
    <row r="11" spans="1:5">
      <c r="A11" s="23" t="s">
        <v>542</v>
      </c>
      <c r="B11" s="25" t="s">
        <v>537</v>
      </c>
      <c r="C11" s="23">
        <v>1.1809545098039216</v>
      </c>
      <c r="D11" s="23" t="s">
        <v>543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74FDAF7A4FB4D876E5EA45926113E" ma:contentTypeVersion="4" ma:contentTypeDescription="Create a new document." ma:contentTypeScope="" ma:versionID="327522a6d5518d67d5f1063e9cc64cf0">
  <xsd:schema xmlns:xsd="http://www.w3.org/2001/XMLSchema" xmlns:xs="http://www.w3.org/2001/XMLSchema" xmlns:p="http://schemas.microsoft.com/office/2006/metadata/properties" xmlns:ns2="3a32fc56-8470-4d77-ad86-bef2a7229878" targetNamespace="http://schemas.microsoft.com/office/2006/metadata/properties" ma:root="true" ma:fieldsID="ffd5532d255be23b9fb13183c07e1fd0" ns2:_="">
    <xsd:import namespace="3a32fc56-8470-4d77-ad86-bef2a72298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32fc56-8470-4d77-ad86-bef2a7229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F399E6-2CA4-4BC3-AE7C-3570BA9F00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EBC224-6025-40B6-954C-A60FF473B45B}">
  <ds:schemaRefs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3a32fc56-8470-4d77-ad86-bef2a7229878"/>
    <ds:schemaRef ds:uri="http://purl.org/dc/dcmitype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32A5943-069C-47E6-B7B1-1C4E8CC11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32fc56-8470-4d77-ad86-bef2a72298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Regions</vt:lpstr>
      <vt:lpstr>EB2018</vt:lpstr>
      <vt:lpstr>CONVENTIONS</vt:lpstr>
      <vt:lpstr>Commodities</vt:lpstr>
      <vt:lpstr>Processes</vt:lpstr>
      <vt:lpstr>SUP_FuelTech</vt:lpstr>
      <vt:lpstr>Imports_Fossil</vt:lpstr>
      <vt:lpstr>Import CO2</vt:lpstr>
      <vt:lpstr>Imports_Bio</vt:lpstr>
      <vt:lpstr>Domestic</vt:lpstr>
      <vt:lpstr>Domestic_Bio</vt:lpstr>
      <vt:lpstr>Refinery</vt:lpstr>
      <vt:lpstr>Interconnector</vt:lpstr>
      <vt:lpstr>Emi</vt:lpstr>
      <vt:lpstr>SEAI-AEA_BioData</vt:lpstr>
      <vt:lpstr>Conversions</vt:lpstr>
    </vt:vector>
  </TitlesOfParts>
  <Company>University College Cork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Chiodi</dc:creator>
  <cp:lastModifiedBy>Vahid Aryanpur</cp:lastModifiedBy>
  <dcterms:created xsi:type="dcterms:W3CDTF">2016-02-04T10:21:59Z</dcterms:created>
  <dcterms:modified xsi:type="dcterms:W3CDTF">2026-08-05T11:40:28Z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0x01010087B74FDAF7A4FB4D876E5EA45926113E</vt:lpwstr>
  </property>
  <property fmtid="{D5CDD505-2E9C-101B-9397-08002B2CF9AE}" pid="3" name="SaveCode">
    <vt:r8>170604944229125</vt:r8>
  </property>
</Properties>
</file>